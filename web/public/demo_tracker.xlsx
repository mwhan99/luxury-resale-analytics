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ags" sheetId="2" state="visible" r:id="rId4"/>
    <sheet name="Summary" sheetId="3" state="visible" r:id="rId5"/>
    <sheet name="Lists" sheetId="4" state="visible" r:id="rId6"/>
  </sheets>
  <definedNames>
    <definedName function="false" hidden="true" localSheetId="1" name="_xlnm._FilterDatabase" vbProcedure="false">Bags!$A$2:$AP$503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Your own reference, e.g. B001</t>
        </r>
      </text>
    </comment>
    <comment ref="B2" authorId="0">
      <text>
        <r>
          <rPr>
            <sz val="10"/>
            <rFont val="Arial"/>
            <family val="2"/>
          </rPr>
          <t xml:space="preserve">Pick from list</t>
        </r>
      </text>
    </comment>
    <comment ref="C2" authorId="0">
      <text>
        <r>
          <rPr>
            <sz val="10"/>
            <rFont val="Arial"/>
            <family val="2"/>
          </rPr>
          <t xml:space="preserve">e.g. Speedy 30, Classic Flap Medium</t>
        </r>
      </text>
    </comment>
    <comment ref="F2" authorId="0">
      <text>
        <r>
          <rPr>
            <sz val="10"/>
            <rFont val="Arial"/>
            <family val="2"/>
          </rPr>
          <t xml:space="preserve">e.g. Monogram canvas, Caviar leather</t>
        </r>
      </text>
    </comment>
    <comment ref="G2" authorId="0">
      <text>
        <r>
          <rPr>
            <sz val="10"/>
            <rFont val="Arial"/>
            <family val="2"/>
          </rPr>
          <t xml:space="preserve">Optional, from date code or serial</t>
        </r>
      </text>
    </comment>
    <comment ref="H2" authorId="0">
      <text>
        <r>
          <rPr>
            <sz val="10"/>
            <rFont val="Arial"/>
            <family val="2"/>
          </rPr>
          <t xml:space="preserve">Pick from list</t>
        </r>
      </text>
    </comment>
    <comment ref="I2" authorId="0">
      <text>
        <r>
          <rPr>
            <sz val="10"/>
            <rFont val="Arial"/>
            <family val="2"/>
          </rPr>
          <t xml:space="preserve">What came with it</t>
        </r>
      </text>
    </comment>
    <comment ref="J2" authorId="0">
      <text>
        <r>
          <rPr>
            <sz val="10"/>
            <rFont val="Arial"/>
            <family val="2"/>
          </rPr>
          <t xml:space="preserve">Pick from list</t>
        </r>
      </text>
    </comment>
    <comment ref="K2" authorId="0">
      <text>
        <r>
          <rPr>
            <sz val="10"/>
            <rFont val="Arial"/>
            <family val="2"/>
          </rPr>
          <t xml:space="preserve">Who you bought it from (can be a nickname)</t>
        </r>
      </text>
    </comment>
    <comment ref="L2" authorId="0">
      <text>
        <r>
          <rPr>
            <sz val="10"/>
            <rFont val="Arial"/>
            <family val="2"/>
          </rPr>
          <t xml:space="preserve">Clearance lot = bought as part of a lot for one total price; Selected single = you chose and paid for this bag on its own; Collab / partner = sourced through a partner arrangement</t>
        </r>
      </text>
    </comment>
    <comment ref="M2" authorId="0">
      <text>
        <r>
          <rPr>
            <sz val="10"/>
            <rFont val="Arial"/>
            <family val="2"/>
          </rPr>
          <t xml:space="preserve">Same ID on every bag from one lot/shipment, e.g. LOT-2026-07. Single bags can use their own ID</t>
        </r>
      </text>
    </comment>
    <comment ref="N2" authorId="0">
      <text>
        <r>
          <rPr>
            <sz val="10"/>
            <rFont val="Arial"/>
            <family val="2"/>
          </rPr>
          <t xml:space="preserve">What you paid for the WHOLE lot. Put it on every bag in that lot</t>
        </r>
      </text>
    </comment>
    <comment ref="O2" authorId="0">
      <text>
        <r>
          <rPr>
            <sz val="10"/>
            <rFont val="Arial"/>
            <family val="2"/>
          </rPr>
          <t xml:space="preserve">DD/MM/YYYY</t>
        </r>
      </text>
    </comment>
    <comment ref="P2" authorId="0">
      <text>
        <r>
          <rPr>
            <sz val="10"/>
            <rFont val="Arial"/>
            <family val="2"/>
          </rPr>
          <t xml:space="preserve">Amount you paid, in the currency you paid in</t>
        </r>
      </text>
    </comment>
    <comment ref="Q2" authorId="0">
      <text>
        <r>
          <rPr>
            <sz val="10"/>
            <rFont val="Arial"/>
            <family val="2"/>
          </rPr>
          <t xml:space="preserve">Pick from list</t>
        </r>
      </text>
    </comment>
    <comment ref="R2" authorId="0">
      <text>
        <r>
          <rPr>
            <sz val="10"/>
            <rFont val="Arial"/>
            <family val="2"/>
          </rPr>
          <t xml:space="preserve">How many £ one unit was worth on the purchase date. GBP = 1</t>
        </r>
      </text>
    </comment>
    <comment ref="W2" authorId="0">
      <text>
        <r>
          <rPr>
            <sz val="10"/>
            <rFont val="Arial"/>
            <family val="2"/>
          </rPr>
          <t xml:space="preserve">Cleaning, repair, packaging, etc.</t>
        </r>
      </text>
    </comment>
    <comment ref="Y2" authorId="0">
      <text>
        <r>
          <rPr>
            <sz val="10"/>
            <rFont val="Arial"/>
            <family val="2"/>
          </rPr>
          <t xml:space="preserve">Where it is / was listed. Pick from list</t>
        </r>
      </text>
    </comment>
    <comment ref="Z2" authorId="0">
      <text>
        <r>
          <rPr>
            <sz val="10"/>
            <rFont val="Arial"/>
            <family val="2"/>
          </rPr>
          <t xml:space="preserve">DD/MM/YYYY</t>
        </r>
      </text>
    </comment>
    <comment ref="AA2" authorId="0">
      <text>
        <r>
          <rPr>
            <sz val="10"/>
            <rFont val="Arial"/>
            <family val="2"/>
          </rPr>
          <t xml:space="preserve">Price when first listed</t>
        </r>
      </text>
    </comment>
    <comment ref="AC2" authorId="0">
      <text>
        <r>
          <rPr>
            <sz val="10"/>
            <rFont val="Arial"/>
            <family val="2"/>
          </rPr>
          <t xml:space="preserve">Pick from list</t>
        </r>
      </text>
    </comment>
    <comment ref="AD2" authorId="0">
      <text>
        <r>
          <rPr>
            <sz val="10"/>
            <rFont val="Arial"/>
            <family val="2"/>
          </rPr>
          <t xml:space="preserve">DD/MM/YYYY</t>
        </r>
      </text>
    </comment>
    <comment ref="AE2" authorId="0">
      <text>
        <r>
          <rPr>
            <sz val="10"/>
            <rFont val="Arial"/>
            <family val="2"/>
          </rPr>
          <t xml:space="preserve">Final price the buyer paid for the item</t>
        </r>
      </text>
    </comment>
    <comment ref="AF2" authorId="0">
      <text>
        <r>
          <rPr>
            <sz val="10"/>
            <rFont val="Arial"/>
            <family val="2"/>
          </rPr>
          <t xml:space="preserve">What actually landed in your account</t>
        </r>
      </text>
    </comment>
    <comment ref="AG2" authorId="0">
      <text>
        <r>
          <rPr>
            <sz val="10"/>
            <rFont val="Arial"/>
            <family val="2"/>
          </rPr>
          <t xml:space="preserve">Only costs not already taken out of the payout</t>
        </r>
      </text>
    </comment>
    <comment ref="AO2" authorId="0">
      <text>
        <r>
          <rPr>
            <sz val="10"/>
            <rFont val="Arial"/>
            <family val="2"/>
          </rPr>
          <t xml:space="preserve">Exact = from a receipt/record; Estimated = best guess</t>
        </r>
      </text>
    </comment>
  </commentList>
</comments>
</file>

<file path=xl/sharedStrings.xml><?xml version="1.0" encoding="utf-8"?>
<sst xmlns="http://schemas.openxmlformats.org/spreadsheetml/2006/main" count="1058" uniqueCount="323">
  <si>
    <t xml:space="preserve">DEMO DATA: based on real shipments, with each bag's amounts randomly scaled (up to ±15%) and identifying details removed for the founder's privacy.</t>
  </si>
  <si>
    <t xml:space="preserve">How to use this tracker</t>
  </si>
  <si>
    <t xml:space="preserve">One row per bag, including bags that haven't sold yet. Fill it in on the Bags tab; the Summary tab updates itself.</t>
  </si>
  <si>
    <t xml:space="preserve">Colour key</t>
  </si>
  <si>
    <t xml:space="preserve">Yellow column header = you fill this in.</t>
  </si>
  <si>
    <t xml:space="preserve">Grey column header / grey cells = calculated automatically. Don't type over these.</t>
  </si>
  <si>
    <t xml:space="preserve">Hover over a column header to see what goes in it.</t>
  </si>
  <si>
    <t xml:space="preserve">Getting started</t>
  </si>
  <si>
    <t xml:space="preserve">1. Look at the example row (row 3, grey italic) to see the format, then overwrite or delete it.</t>
  </si>
  <si>
    <t xml:space="preserve">2. Start with sold bags from Vinted and Vestiaire Collective (sold-items history and sale/payout emails).</t>
  </si>
  <si>
    <t xml:space="preserve">3. Add the purchase side from your own records: supplier messages, bank/PayPal transfers, invoices, shipping receipts.</t>
  </si>
  <si>
    <t xml:space="preserve">4. Add bags you still have (listed or not) so we can see what's slow to sell.</t>
  </si>
  <si>
    <t xml:space="preserve">5. If you don't know an exact number, put your best guess and set Data confidence to 'Estimated'. A guess is more useful than a blank.</t>
  </si>
  <si>
    <t xml:space="preserve">Tips</t>
  </si>
  <si>
    <t xml:space="preserve">• Enter money in pounds (£). For purchases in another currency, put the original amount + currency + exchange rate; the £ value is calculated.</t>
  </si>
  <si>
    <t xml:space="preserve">• Net payout = what actually reached your account after the platform's cut.</t>
  </si>
  <si>
    <t xml:space="preserve">• Dates as DD/MM/YYYY.</t>
  </si>
  <si>
    <t xml:space="preserve">• Lots: give every bag from one bundle the same Lot ID and the same Lot total price. Purchase price per bag can be your split of that total.</t>
  </si>
  <si>
    <t xml:space="preserve">• To add a brand, channel or other dropdown option, add it to the Lists tab. (New brands/channels also need a row added on the Summary tab.)</t>
  </si>
  <si>
    <t xml:space="preserve">• Bags with status other than 'Sold' don't count towards profit; their cost shows as unsold stock.</t>
  </si>
  <si>
    <t xml:space="preserve">ITEM</t>
  </si>
  <si>
    <t xml:space="preserve">SOURCING</t>
  </si>
  <si>
    <t xml:space="preserve">LISTING</t>
  </si>
  <si>
    <t xml:space="preserve">SALE</t>
  </si>
  <si>
    <t xml:space="preserve">RESULTS</t>
  </si>
  <si>
    <t xml:space="preserve">NOTES</t>
  </si>
  <si>
    <t xml:space="preserve">Bag ID</t>
  </si>
  <si>
    <t xml:space="preserve">Brand</t>
  </si>
  <si>
    <t xml:space="preserve">Model / style</t>
  </si>
  <si>
    <t xml:space="preserve">Size</t>
  </si>
  <si>
    <t xml:space="preserve">Colour</t>
  </si>
  <si>
    <t xml:space="preserve">Material</t>
  </si>
  <si>
    <t xml:space="preserve">Year / date code</t>
  </si>
  <si>
    <t xml:space="preserve">Condition</t>
  </si>
  <si>
    <t xml:space="preserve">Box / dust bag / receipt</t>
  </si>
  <si>
    <t xml:space="preserve">Authentication</t>
  </si>
  <si>
    <t xml:space="preserve">Supplier / source</t>
  </si>
  <si>
    <t xml:space="preserve">Sourcing type</t>
  </si>
  <si>
    <t xml:space="preserve">Lot ID</t>
  </si>
  <si>
    <t xml:space="preserve">Lot total price (£)</t>
  </si>
  <si>
    <t xml:space="preserve">Purchase date</t>
  </si>
  <si>
    <t xml:space="preserve">Purchase price (original currency)</t>
  </si>
  <si>
    <t xml:space="preserve">Purchase currency</t>
  </si>
  <si>
    <t xml:space="preserve">FX rate to GBP</t>
  </si>
  <si>
    <t xml:space="preserve">Purchase price (£)</t>
  </si>
  <si>
    <t xml:space="preserve">Shipping to London (£)</t>
  </si>
  <si>
    <t xml:space="preserve">Import duty &amp; VAT (£)</t>
  </si>
  <si>
    <t xml:space="preserve">Authentication cost (£)</t>
  </si>
  <si>
    <t xml:space="preserve">Other costs (£)</t>
  </si>
  <si>
    <t xml:space="preserve">Total landed cost (£)</t>
  </si>
  <si>
    <t xml:space="preserve">Channel</t>
  </si>
  <si>
    <t xml:space="preserve">Date listed</t>
  </si>
  <si>
    <t xml:space="preserve">First list price (£)</t>
  </si>
  <si>
    <t xml:space="preserve">No. of price cuts</t>
  </si>
  <si>
    <t xml:space="preserve">Status</t>
  </si>
  <si>
    <t xml:space="preserve">Date sold</t>
  </si>
  <si>
    <t xml:space="preserve">Sale price (£)</t>
  </si>
  <si>
    <t xml:space="preserve">Net payout received (£)</t>
  </si>
  <si>
    <t xml:space="preserve">Seller-paid shipping / packaging (£)</t>
  </si>
  <si>
    <t xml:space="preserve">Fees &amp; deductions (£)</t>
  </si>
  <si>
    <t xml:space="preserve">Profit (£)</t>
  </si>
  <si>
    <t xml:space="preserve">Margin %</t>
  </si>
  <si>
    <t xml:space="preserve">ROI %</t>
  </si>
  <si>
    <t xml:space="preserve">Days to sell</t>
  </si>
  <si>
    <t xml:space="preserve">Discount vs first list %</t>
  </si>
  <si>
    <t xml:space="preserve">Days in stock (unsold)</t>
  </si>
  <si>
    <t xml:space="preserve">Data confidence</t>
  </si>
  <si>
    <t xml:space="preserve">Notes</t>
  </si>
  <si>
    <t xml:space="preserve">DEMO-001</t>
  </si>
  <si>
    <t xml:space="preserve">Fendi</t>
  </si>
  <si>
    <t xml:space="preserve">Baguette</t>
  </si>
  <si>
    <t xml:space="preserve">Pink</t>
  </si>
  <si>
    <t xml:space="preserve">Leather</t>
  </si>
  <si>
    <t xml:space="preserve">Satisfactory</t>
  </si>
  <si>
    <t xml:space="preserve">Supplier A</t>
  </si>
  <si>
    <t xml:space="preserve">Clearance lot</t>
  </si>
  <si>
    <t xml:space="preserve">LOT-A</t>
  </si>
  <si>
    <t xml:space="preserve">GBP</t>
  </si>
  <si>
    <t xml:space="preserve">Vinted</t>
  </si>
  <si>
    <t xml:space="preserve">Sold</t>
  </si>
  <si>
    <t xml:space="preserve">Exact</t>
  </si>
  <si>
    <t xml:space="preserve">Purchase date had day and month swapped in the original sheet; corrected.</t>
  </si>
  <si>
    <t xml:space="preserve">DEMO-002</t>
  </si>
  <si>
    <t xml:space="preserve">Louis Vuitton</t>
  </si>
  <si>
    <t xml:space="preserve">Brown</t>
  </si>
  <si>
    <t xml:space="preserve">Fair</t>
  </si>
  <si>
    <t xml:space="preserve">Estimated</t>
  </si>
  <si>
    <t xml:space="preserve">Platform fee not recorded in the original sheet. Model field held a condition or year rather than a model name. Purchase date had day and month swapped in the original sheet; corrected.</t>
  </si>
  <si>
    <t xml:space="preserve">DEMO-003</t>
  </si>
  <si>
    <t xml:space="preserve">Dior</t>
  </si>
  <si>
    <t xml:space="preserve">Vintage with strap</t>
  </si>
  <si>
    <t xml:space="preserve">Multi</t>
  </si>
  <si>
    <t xml:space="preserve">Canvas</t>
  </si>
  <si>
    <t xml:space="preserve">DEMO-004</t>
  </si>
  <si>
    <t xml:space="preserve">Gucci</t>
  </si>
  <si>
    <t xml:space="preserve">Tote bag with toys</t>
  </si>
  <si>
    <t xml:space="preserve">Good</t>
  </si>
  <si>
    <t xml:space="preserve">Platform fee not recorded in the original sheet. Purchase date had day and month swapped in the original sheet; corrected.</t>
  </si>
  <si>
    <t xml:space="preserve">DEMO-005</t>
  </si>
  <si>
    <t xml:space="preserve">Bottega Veneta</t>
  </si>
  <si>
    <t xml:space="preserve">Purple</t>
  </si>
  <si>
    <t xml:space="preserve">eBay</t>
  </si>
  <si>
    <t xml:space="preserve">DEMO-006</t>
  </si>
  <si>
    <t xml:space="preserve">Cotton</t>
  </si>
  <si>
    <t xml:space="preserve">Depop</t>
  </si>
  <si>
    <t xml:space="preserve">Platform fee not recorded in the original sheet. Sold above its first list price: listed price to check. Model field held a condition or year rather than a model name. Purchase date had day and month swapped in the original sheet; corrected.</t>
  </si>
  <si>
    <t xml:space="preserve">DEMO-007</t>
  </si>
  <si>
    <t xml:space="preserve">Green</t>
  </si>
  <si>
    <t xml:space="preserve">Platform fee not recorded in the original sheet. Sold above its first list price: listed price to check. Purchase date had day and month swapped in the original sheet; corrected.</t>
  </si>
  <si>
    <t xml:space="preserve">DEMO-008</t>
  </si>
  <si>
    <t xml:space="preserve">Blue</t>
  </si>
  <si>
    <t xml:space="preserve">DEMO-009</t>
  </si>
  <si>
    <t xml:space="preserve">Silver</t>
  </si>
  <si>
    <t xml:space="preserve">DEMO-010</t>
  </si>
  <si>
    <t xml:space="preserve">Bamboo</t>
  </si>
  <si>
    <t xml:space="preserve">DEMO-011</t>
  </si>
  <si>
    <t xml:space="preserve">Yellow</t>
  </si>
  <si>
    <t xml:space="preserve">Suede</t>
  </si>
  <si>
    <t xml:space="preserve">DEMO-012</t>
  </si>
  <si>
    <t xml:space="preserve">Bowling</t>
  </si>
  <si>
    <t xml:space="preserve">Black</t>
  </si>
  <si>
    <t xml:space="preserve">Platform authenticated</t>
  </si>
  <si>
    <t xml:space="preserve">Supplier B</t>
  </si>
  <si>
    <t xml:space="preserve">Selected single</t>
  </si>
  <si>
    <t xml:space="preserve">SINGLE-A</t>
  </si>
  <si>
    <t xml:space="preserve">Vestiaire Collective</t>
  </si>
  <si>
    <t xml:space="preserve">Bought individually from a second supplier, not part of the clearance lot.</t>
  </si>
  <si>
    <t xml:space="preserve">DEMO-013</t>
  </si>
  <si>
    <t xml:space="preserve">Andiamo</t>
  </si>
  <si>
    <t xml:space="preserve">Canvas/leather</t>
  </si>
  <si>
    <t xml:space="preserve">Listed</t>
  </si>
  <si>
    <t xml:space="preserve">DEMO-014</t>
  </si>
  <si>
    <t xml:space="preserve">Chanel</t>
  </si>
  <si>
    <t xml:space="preserve">Private / direct</t>
  </si>
  <si>
    <t xml:space="preserve">Sold privately to a personal contact, not through a platform. Purchase date had day and month swapped in the original sheet; corrected.</t>
  </si>
  <si>
    <t xml:space="preserve">DEMO-015</t>
  </si>
  <si>
    <t xml:space="preserve">Gold</t>
  </si>
  <si>
    <t xml:space="preserve">Ostrich leather</t>
  </si>
  <si>
    <t xml:space="preserve">Added in the founder's updated sheet.</t>
  </si>
  <si>
    <t xml:space="preserve">DEMO-016</t>
  </si>
  <si>
    <t xml:space="preserve">Loewe</t>
  </si>
  <si>
    <t xml:space="preserve">Amazona burgundy leather</t>
  </si>
  <si>
    <t xml:space="preserve">Burgundy</t>
  </si>
  <si>
    <t xml:space="preserve">Supplier C</t>
  </si>
  <si>
    <t xml:space="preserve">LOT-B</t>
  </si>
  <si>
    <t xml:space="preserve">Purchase date had day and month swapped in the original sheet; corrected. Per-bag costs in this lot were split in proportion to sale price; judge the lot as a whole. Platform fee recorded as exactly 15% of the sale; to confirm against the payout.</t>
  </si>
  <si>
    <t xml:space="preserve">DEMO-017</t>
  </si>
  <si>
    <t xml:space="preserve">Brown leather flap crossbody</t>
  </si>
  <si>
    <t xml:space="preserve">Tan</t>
  </si>
  <si>
    <t xml:space="preserve">DEMO-018</t>
  </si>
  <si>
    <t xml:space="preserve">Bowling bag</t>
  </si>
  <si>
    <t xml:space="preserve">DEMO-019</t>
  </si>
  <si>
    <t xml:space="preserve">Leather handbag</t>
  </si>
  <si>
    <t xml:space="preserve">DEMO-020</t>
  </si>
  <si>
    <t xml:space="preserve">Champagne monogram bowling tote</t>
  </si>
  <si>
    <t xml:space="preserve">Champagne</t>
  </si>
  <si>
    <t xml:space="preserve">Coated canvas / leather</t>
  </si>
  <si>
    <t xml:space="preserve">DEMO-021</t>
  </si>
  <si>
    <t xml:space="preserve">Ostrich bag</t>
  </si>
  <si>
    <t xml:space="preserve">Purchase date had day and month swapped in the original sheet; corrected. Purchase price was typed with a comma decimal, so the original sheet left it out of cost; fixed. Per-bag costs in this lot were split in proportion to sale price; judge the lot as a whole. Platform fee recorded as exactly 15% of the sale; to confirm against the payout.</t>
  </si>
  <si>
    <t xml:space="preserve">DEMO-022</t>
  </si>
  <si>
    <t xml:space="preserve">Precision pink terrycloth shoulder bag</t>
  </si>
  <si>
    <t xml:space="preserve">Chocolate brown</t>
  </si>
  <si>
    <t xml:space="preserve">Plastic</t>
  </si>
  <si>
    <t xml:space="preserve">DEMO-023</t>
  </si>
  <si>
    <t xml:space="preserve">Ophidia tote</t>
  </si>
  <si>
    <t xml:space="preserve">Navy</t>
  </si>
  <si>
    <t xml:space="preserve">Canvas / leather</t>
  </si>
  <si>
    <t xml:space="preserve">DEMO-024</t>
  </si>
  <si>
    <t xml:space="preserve">Amazona vintage</t>
  </si>
  <si>
    <t xml:space="preserve">Cream</t>
  </si>
  <si>
    <t xml:space="preserve">DEMO-025</t>
  </si>
  <si>
    <t xml:space="preserve">Miu Miu</t>
  </si>
  <si>
    <t xml:space="preserve">Bow bag</t>
  </si>
  <si>
    <t xml:space="preserve">Red</t>
  </si>
  <si>
    <t xml:space="preserve">DEMO-026</t>
  </si>
  <si>
    <t xml:space="preserve">Cloth handbag</t>
  </si>
  <si>
    <t xml:space="preserve">Olive green</t>
  </si>
  <si>
    <t xml:space="preserve">Trade buyer (wholesale)</t>
  </si>
  <si>
    <t xml:space="preserve">Purchase date had day and month swapped in the original sheet; corrected. Per-bag costs in this lot were split in proportion to sale price; judge the lot as a whole. Sold to a trade buyer.</t>
  </si>
  <si>
    <t xml:space="preserve">DEMO-027</t>
  </si>
  <si>
    <t xml:space="preserve">Crossbody</t>
  </si>
  <si>
    <t xml:space="preserve">Beige</t>
  </si>
  <si>
    <t xml:space="preserve">DEMO-028</t>
  </si>
  <si>
    <t xml:space="preserve">Amazona patchwork</t>
  </si>
  <si>
    <t xml:space="preserve">Dark brown</t>
  </si>
  <si>
    <t xml:space="preserve">DEMO-029</t>
  </si>
  <si>
    <t xml:space="preserve">Blue leather</t>
  </si>
  <si>
    <t xml:space="preserve">Suede / leather</t>
  </si>
  <si>
    <t xml:space="preserve">DEMO-030</t>
  </si>
  <si>
    <t xml:space="preserve">Prada</t>
  </si>
  <si>
    <t xml:space="preserve">LOT-C</t>
  </si>
  <si>
    <t xml:space="preserve">Purchase date had day and month swapped in the original sheet; corrected. Sold to a trade buyer.</t>
  </si>
  <si>
    <t xml:space="preserve">DEMO-031</t>
  </si>
  <si>
    <t xml:space="preserve">Balenciaga</t>
  </si>
  <si>
    <t xml:space="preserve">Work bag</t>
  </si>
  <si>
    <t xml:space="preserve">DEMO-032</t>
  </si>
  <si>
    <t xml:space="preserve">Zucca Baguette</t>
  </si>
  <si>
    <t xml:space="preserve">Woven leather</t>
  </si>
  <si>
    <t xml:space="preserve">DEMO-033</t>
  </si>
  <si>
    <t xml:space="preserve">GG canvas shoulder</t>
  </si>
  <si>
    <t xml:space="preserve">DEMO-034</t>
  </si>
  <si>
    <t xml:space="preserve">Nylon tote</t>
  </si>
  <si>
    <t xml:space="preserve">DEMO-035</t>
  </si>
  <si>
    <t xml:space="preserve">Saddle vintage</t>
  </si>
  <si>
    <t xml:space="preserve">DEMO-036</t>
  </si>
  <si>
    <t xml:space="preserve">Mulberry</t>
  </si>
  <si>
    <t xml:space="preserve">Alexa</t>
  </si>
  <si>
    <t xml:space="preserve">DEMO-037</t>
  </si>
  <si>
    <t xml:space="preserve">Puzzle mini</t>
  </si>
  <si>
    <t xml:space="preserve">Purchase date had day and month swapped in the original sheet; corrected. Purchase price was typed with a comma decimal, so the original sheet left it out of cost; fixed. Sold to a trade buyer.</t>
  </si>
  <si>
    <t xml:space="preserve">DEMO-038</t>
  </si>
  <si>
    <t xml:space="preserve">The Jetsons printed tote</t>
  </si>
  <si>
    <t xml:space="preserve">DEMO-039</t>
  </si>
  <si>
    <t xml:space="preserve">Cream woven chain shoulder bag</t>
  </si>
  <si>
    <t xml:space="preserve">DEMO-040</t>
  </si>
  <si>
    <t xml:space="preserve">Black leather gathered handbag</t>
  </si>
  <si>
    <t xml:space="preserve">DEMO-041</t>
  </si>
  <si>
    <t xml:space="preserve">Chloé</t>
  </si>
  <si>
    <t xml:space="preserve">Cream leather two-tone tote</t>
  </si>
  <si>
    <t xml:space="preserve">DEMO-042</t>
  </si>
  <si>
    <t xml:space="preserve">Red patterned canvas tote</t>
  </si>
  <si>
    <t xml:space="preserve">DEMO-043</t>
  </si>
  <si>
    <t xml:space="preserve">Black quilted leather shoulder bag</t>
  </si>
  <si>
    <t xml:space="preserve">DEMO-044</t>
  </si>
  <si>
    <t xml:space="preserve">Brown leather top-handle bag</t>
  </si>
  <si>
    <t xml:space="preserve">Ivory</t>
  </si>
  <si>
    <t xml:space="preserve">DEMO-045</t>
  </si>
  <si>
    <t xml:space="preserve">Black woven leather clutch</t>
  </si>
  <si>
    <t xml:space="preserve">DEMO-046</t>
  </si>
  <si>
    <t xml:space="preserve">Givenchy</t>
  </si>
  <si>
    <t xml:space="preserve">Pandora</t>
  </si>
  <si>
    <t xml:space="preserve">Dark green</t>
  </si>
  <si>
    <t xml:space="preserve">DEMO-047</t>
  </si>
  <si>
    <t xml:space="preserve">Coach</t>
  </si>
  <si>
    <t xml:space="preserve">Vintage leather</t>
  </si>
  <si>
    <t xml:space="preserve">DEMO-048</t>
  </si>
  <si>
    <t xml:space="preserve">Ferragamo</t>
  </si>
  <si>
    <t xml:space="preserve">Gancini shoulder</t>
  </si>
  <si>
    <t xml:space="preserve">Camel</t>
  </si>
  <si>
    <t xml:space="preserve">In stock, not listed</t>
  </si>
  <si>
    <t xml:space="preserve">Purchase date had day and month swapped in the original sheet; corrected. Sold to a trade buyer. Not sold yet; still in stock.</t>
  </si>
  <si>
    <t xml:space="preserve">DEMO-049</t>
  </si>
  <si>
    <t xml:space="preserve">Marc Jacobs</t>
  </si>
  <si>
    <t xml:space="preserve">Stam</t>
  </si>
  <si>
    <t xml:space="preserve">Grey</t>
  </si>
  <si>
    <t xml:space="preserve">DEMO-050</t>
  </si>
  <si>
    <t xml:space="preserve">Burberry</t>
  </si>
  <si>
    <t xml:space="preserve">Check tote</t>
  </si>
  <si>
    <t xml:space="preserve">Wine</t>
  </si>
  <si>
    <t xml:space="preserve">DEMO-051</t>
  </si>
  <si>
    <t xml:space="preserve">Denim vintage bag</t>
  </si>
  <si>
    <t xml:space="preserve">Denim</t>
  </si>
  <si>
    <t xml:space="preserve">Supplier D</t>
  </si>
  <si>
    <t xml:space="preserve">Collab / partner</t>
  </si>
  <si>
    <t xml:space="preserve">COLLAB-A</t>
  </si>
  <si>
    <t xml:space="preserve">Sourced through a Vinted collab arrangement; terms to confirm.</t>
  </si>
  <si>
    <t xml:space="preserve">DEMO-052</t>
  </si>
  <si>
    <t xml:space="preserve">Faye leather clutch bag</t>
  </si>
  <si>
    <t xml:space="preserve">DEMO-053</t>
  </si>
  <si>
    <t xml:space="preserve">Amazona Calfskin Tales of Spain Barroco</t>
  </si>
  <si>
    <t xml:space="preserve">Calfskin leather</t>
  </si>
  <si>
    <t xml:space="preserve">DEMO-054</t>
  </si>
  <si>
    <t xml:space="preserve">Nylon burgundy tote bag</t>
  </si>
  <si>
    <t xml:space="preserve">Nylon</t>
  </si>
  <si>
    <t xml:space="preserve">DEMO-055</t>
  </si>
  <si>
    <t xml:space="preserve">Vintage bag in mustard</t>
  </si>
  <si>
    <t xml:space="preserve">Mustard</t>
  </si>
  <si>
    <t xml:space="preserve">DEMO-056</t>
  </si>
  <si>
    <t xml:space="preserve">Velazquez leather shoulder bag</t>
  </si>
  <si>
    <t xml:space="preserve">DEMO-057</t>
  </si>
  <si>
    <t xml:space="preserve">Leopard Print Vintage Bag</t>
  </si>
  <si>
    <t xml:space="preserve">Leopard print</t>
  </si>
  <si>
    <t xml:space="preserve">DEMO-058</t>
  </si>
  <si>
    <t xml:space="preserve">Vintage bag</t>
  </si>
  <si>
    <t xml:space="preserve">DEMO-059</t>
  </si>
  <si>
    <t xml:space="preserve">Vintage crossbody bag</t>
  </si>
  <si>
    <t xml:space="preserve">Black / deep blue</t>
  </si>
  <si>
    <t xml:space="preserve">DEMO-060</t>
  </si>
  <si>
    <t xml:space="preserve">Precision gift bag</t>
  </si>
  <si>
    <t xml:space="preserve">DEMO-061</t>
  </si>
  <si>
    <t xml:space="preserve">Other</t>
  </si>
  <si>
    <t xml:space="preserve">Denim robotic bag</t>
  </si>
  <si>
    <t xml:space="preserve">DEMO-062</t>
  </si>
  <si>
    <t xml:space="preserve">Small vintage bag</t>
  </si>
  <si>
    <t xml:space="preserve">Business summary</t>
  </si>
  <si>
    <t xml:space="preserve">Everything here is calculated from the Bags tab. Don't type in this sheet.</t>
  </si>
  <si>
    <t xml:space="preserve">Bags tracked</t>
  </si>
  <si>
    <t xml:space="preserve">Bags sold</t>
  </si>
  <si>
    <t xml:space="preserve">Sell-through %</t>
  </si>
  <si>
    <t xml:space="preserve">Revenue from sold bags (£)</t>
  </si>
  <si>
    <t xml:space="preserve">Total profit (£)</t>
  </si>
  <si>
    <t xml:space="preserve">Overall margin %</t>
  </si>
  <si>
    <t xml:space="preserve">Average days to sell</t>
  </si>
  <si>
    <t xml:space="preserve">Unsold stock at cost (£)</t>
  </si>
  <si>
    <t xml:space="preserve">Rows with estimated or unknown data</t>
  </si>
  <si>
    <t xml:space="preserve">By sourcing type</t>
  </si>
  <si>
    <t xml:space="preserve">Revenue (£)</t>
  </si>
  <si>
    <t xml:space="preserve">Avg days to sell</t>
  </si>
  <si>
    <t xml:space="preserve">Avg discount vs list %</t>
  </si>
  <si>
    <t xml:space="preserve">By brand</t>
  </si>
  <si>
    <t xml:space="preserve">Hermès</t>
  </si>
  <si>
    <t xml:space="preserve">Celine</t>
  </si>
  <si>
    <t xml:space="preserve">Saint Laurent</t>
  </si>
  <si>
    <t xml:space="preserve">Goyard</t>
  </si>
  <si>
    <t xml:space="preserve">By sales channel</t>
  </si>
  <si>
    <t xml:space="preserve">Shopify</t>
  </si>
  <si>
    <t xml:space="preserve">Currency</t>
  </si>
  <si>
    <t xml:space="preserve">Confidence</t>
  </si>
  <si>
    <t xml:space="preserve">New with tags</t>
  </si>
  <si>
    <t xml:space="preserve">Excellent</t>
  </si>
  <si>
    <t xml:space="preserve">Third-party certificate</t>
  </si>
  <si>
    <t xml:space="preserve">USD</t>
  </si>
  <si>
    <t xml:space="preserve">Very good</t>
  </si>
  <si>
    <t xml:space="preserve">Own check only</t>
  </si>
  <si>
    <t xml:space="preserve">EUR</t>
  </si>
  <si>
    <t xml:space="preserve">Unknown</t>
  </si>
  <si>
    <t xml:space="preserve">None</t>
  </si>
  <si>
    <t xml:space="preserve">JPY</t>
  </si>
  <si>
    <t xml:space="preserve">Returned</t>
  </si>
  <si>
    <t xml:space="preserve">CNY</t>
  </si>
  <si>
    <t xml:space="preserve">Delisted / kept</t>
  </si>
  <si>
    <t xml:space="preserve">HKD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</si>
</sst>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£#,##0.00;&quot;(£&quot;#,##0.00\);\-"/>
    <numFmt numFmtId="166" formatCode="dd/mm/yyyy"/>
    <numFmt numFmtId="167" formatCode="#,##0.00"/>
    <numFmt numFmtId="168" formatCode="0.0000"/>
    <numFmt numFmtId="169" formatCode="0"/>
    <numFmt numFmtId="170" formatCode="0.0%;\-0.0%;\-"/>
    <numFmt numFmtId="171" formatCode="0.0%"/>
    <numFmt numFmtId="172" formatCode="\£#,##0"/>
    <numFmt numFmtId="173" formatCode="\£#,##0;&quot;(£&quot;#,##0\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00000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i val="true"/>
      <sz val="11"/>
      <color rgb="FF7F7F7F"/>
      <name val="Arial"/>
      <family val="0"/>
      <charset val="1"/>
    </font>
    <font>
      <b val="true"/>
      <sz val="12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7F4F24"/>
        <bgColor rgb="FF595959"/>
      </patternFill>
    </fill>
    <fill>
      <patternFill patternType="solid">
        <fgColor rgb="FF385723"/>
        <bgColor rgb="FF404040"/>
      </patternFill>
    </fill>
    <fill>
      <patternFill patternType="solid">
        <fgColor rgb="FF2E5E8C"/>
        <bgColor rgb="FF595959"/>
      </patternFill>
    </fill>
    <fill>
      <patternFill patternType="solid">
        <fgColor rgb="FF595959"/>
        <bgColor rgb="FF404040"/>
      </patternFill>
    </fill>
    <fill>
      <patternFill patternType="solid">
        <fgColor rgb="FF404040"/>
        <bgColor rgb="FF385723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85723"/>
      <rgbColor rgb="FF7F4F24"/>
      <rgbColor rgb="FF993366"/>
      <rgbColor rgb="FF2E5E8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/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4"/>
    </row>
    <row r="6" customFormat="false" ht="15" hidden="false" customHeight="true" outlineLevel="0" collapsed="false">
      <c r="A6" s="5" t="s">
        <v>3</v>
      </c>
    </row>
    <row r="7" customFormat="false" ht="15" hidden="false" customHeight="true" outlineLevel="0" collapsed="false">
      <c r="A7" s="4" t="s">
        <v>4</v>
      </c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4"/>
    </row>
    <row r="11" customFormat="false" ht="15" hidden="false" customHeight="true" outlineLevel="0" collapsed="false">
      <c r="A11" s="5" t="s">
        <v>7</v>
      </c>
    </row>
    <row r="12" customFormat="false" ht="15" hidden="false" customHeight="true" outlineLevel="0" collapsed="false">
      <c r="A12" s="4" t="s">
        <v>8</v>
      </c>
    </row>
    <row r="13" customFormat="false" ht="15" hidden="false" customHeight="true" outlineLevel="0" collapsed="false">
      <c r="A13" s="4" t="s">
        <v>9</v>
      </c>
    </row>
    <row r="14" customFormat="false" ht="15" hidden="false" customHeight="true" outlineLevel="0" collapsed="false">
      <c r="A14" s="4" t="s">
        <v>10</v>
      </c>
    </row>
    <row r="15" customFormat="false" ht="15" hidden="false" customHeight="true" outlineLevel="0" collapsed="false">
      <c r="A15" s="4" t="s">
        <v>11</v>
      </c>
    </row>
    <row r="16" customFormat="false" ht="15" hidden="false" customHeight="true" outlineLevel="0" collapsed="false">
      <c r="A16" s="4" t="s">
        <v>12</v>
      </c>
    </row>
    <row r="17" customFormat="false" ht="15" hidden="false" customHeight="true" outlineLevel="0" collapsed="false">
      <c r="A17" s="4"/>
    </row>
    <row r="18" customFormat="false" ht="15" hidden="false" customHeight="true" outlineLevel="0" collapsed="false">
      <c r="A18" s="5" t="s">
        <v>13</v>
      </c>
    </row>
    <row r="19" customFormat="false" ht="15" hidden="false" customHeight="true" outlineLevel="0" collapsed="false">
      <c r="A19" s="4" t="s">
        <v>14</v>
      </c>
    </row>
    <row r="20" customFormat="false" ht="15" hidden="false" customHeight="true" outlineLevel="0" collapsed="false">
      <c r="A20" s="4" t="s">
        <v>15</v>
      </c>
    </row>
    <row r="21" customFormat="false" ht="15" hidden="false" customHeight="true" outlineLevel="0" collapsed="false">
      <c r="A21" s="4" t="s">
        <v>16</v>
      </c>
    </row>
    <row r="22" customFormat="false" ht="15" hidden="false" customHeight="true" outlineLevel="0" collapsed="false">
      <c r="A22" s="4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20"/>
    <col collapsed="false" customWidth="true" hidden="false" outlineLevel="0" max="12" min="11" style="1" width="16"/>
    <col collapsed="false" customWidth="true" hidden="false" outlineLevel="0" max="13" min="13" style="1" width="13"/>
    <col collapsed="false" customWidth="true" hidden="false" outlineLevel="0" max="15" min="14" style="1" width="12"/>
    <col collapsed="false" customWidth="true" hidden="false" outlineLevel="0" max="16" min="16" style="1" width="14"/>
    <col collapsed="false" customWidth="true" hidden="false" outlineLevel="0" max="17" min="17" style="1" width="11"/>
    <col collapsed="false" customWidth="true" hidden="false" outlineLevel="0" max="18" min="18" style="1" width="10"/>
    <col collapsed="false" customWidth="true" hidden="false" outlineLevel="0" max="23" min="19" style="1" width="12"/>
    <col collapsed="false" customWidth="true" hidden="false" outlineLevel="0" max="24" min="24" style="1" width="13"/>
    <col collapsed="false" customWidth="true" hidden="false" outlineLevel="0" max="25" min="25" style="1" width="18"/>
    <col collapsed="false" customWidth="true" hidden="false" outlineLevel="0" max="27" min="26" style="1" width="12"/>
    <col collapsed="false" customWidth="true" hidden="false" outlineLevel="0" max="28" min="28" style="1" width="10"/>
    <col collapsed="false" customWidth="true" hidden="false" outlineLevel="0" max="29" min="29" style="1" width="18"/>
    <col collapsed="false" customWidth="true" hidden="false" outlineLevel="0" max="31" min="30" style="1" width="12"/>
    <col collapsed="false" customWidth="true" hidden="false" outlineLevel="0" max="33" min="32" style="1" width="13"/>
    <col collapsed="false" customWidth="true" hidden="false" outlineLevel="0" max="34" min="34" style="1" width="12"/>
    <col collapsed="false" customWidth="true" hidden="false" outlineLevel="0" max="35" min="35" style="1" width="11"/>
    <col collapsed="false" customWidth="true" hidden="false" outlineLevel="0" max="38" min="36" style="1" width="9"/>
    <col collapsed="false" customWidth="true" hidden="false" outlineLevel="0" max="39" min="39" style="1" width="11"/>
    <col collapsed="false" customWidth="true" hidden="false" outlineLevel="0" max="40" min="40" style="1" width="10"/>
    <col collapsed="false" customWidth="true" hidden="false" outlineLevel="0" max="41" min="41" style="1" width="12"/>
    <col collapsed="false" customWidth="true" hidden="false" outlineLevel="0" max="42" min="42" style="1" width="30"/>
  </cols>
  <sheetData>
    <row r="1" customFormat="false" ht="15" hidden="false" customHeight="true" outlineLevel="0" collapsed="false">
      <c r="A1" s="6" t="s">
        <v>20</v>
      </c>
      <c r="B1" s="6"/>
      <c r="C1" s="6"/>
      <c r="D1" s="6"/>
      <c r="E1" s="6"/>
      <c r="F1" s="6"/>
      <c r="G1" s="6"/>
      <c r="H1" s="6"/>
      <c r="I1" s="6"/>
      <c r="J1" s="6"/>
      <c r="K1" s="7" t="s">
        <v>21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8" t="s">
        <v>22</v>
      </c>
      <c r="Z1" s="8"/>
      <c r="AA1" s="8"/>
      <c r="AB1" s="8"/>
      <c r="AC1" s="8"/>
      <c r="AD1" s="9" t="s">
        <v>23</v>
      </c>
      <c r="AE1" s="9"/>
      <c r="AF1" s="9"/>
      <c r="AG1" s="9"/>
      <c r="AH1" s="10" t="s">
        <v>24</v>
      </c>
      <c r="AI1" s="10"/>
      <c r="AJ1" s="10"/>
      <c r="AK1" s="10"/>
      <c r="AL1" s="10"/>
      <c r="AM1" s="10"/>
      <c r="AN1" s="10"/>
      <c r="AO1" s="11" t="s">
        <v>25</v>
      </c>
      <c r="AP1" s="11"/>
    </row>
    <row r="2" customFormat="false" ht="48" hidden="false" customHeight="true" outlineLevel="0" collapsed="false">
      <c r="A2" s="12" t="s">
        <v>26</v>
      </c>
      <c r="B2" s="12" t="s">
        <v>27</v>
      </c>
      <c r="C2" s="12" t="s">
        <v>28</v>
      </c>
      <c r="D2" s="12" t="s">
        <v>29</v>
      </c>
      <c r="E2" s="12" t="s">
        <v>30</v>
      </c>
      <c r="F2" s="12" t="s">
        <v>31</v>
      </c>
      <c r="G2" s="12" t="s">
        <v>32</v>
      </c>
      <c r="H2" s="12" t="s">
        <v>33</v>
      </c>
      <c r="I2" s="12" t="s">
        <v>34</v>
      </c>
      <c r="J2" s="12" t="s">
        <v>35</v>
      </c>
      <c r="K2" s="12" t="s">
        <v>36</v>
      </c>
      <c r="L2" s="12" t="s">
        <v>37</v>
      </c>
      <c r="M2" s="12" t="s">
        <v>38</v>
      </c>
      <c r="N2" s="12" t="s">
        <v>39</v>
      </c>
      <c r="O2" s="12" t="s">
        <v>40</v>
      </c>
      <c r="P2" s="12" t="s">
        <v>41</v>
      </c>
      <c r="Q2" s="12" t="s">
        <v>42</v>
      </c>
      <c r="R2" s="12" t="s">
        <v>43</v>
      </c>
      <c r="S2" s="13" t="s">
        <v>44</v>
      </c>
      <c r="T2" s="12" t="s">
        <v>45</v>
      </c>
      <c r="U2" s="12" t="s">
        <v>46</v>
      </c>
      <c r="V2" s="12" t="s">
        <v>47</v>
      </c>
      <c r="W2" s="12" t="s">
        <v>48</v>
      </c>
      <c r="X2" s="13" t="s">
        <v>49</v>
      </c>
      <c r="Y2" s="12" t="s">
        <v>50</v>
      </c>
      <c r="Z2" s="12" t="s">
        <v>51</v>
      </c>
      <c r="AA2" s="12" t="s">
        <v>52</v>
      </c>
      <c r="AB2" s="12" t="s">
        <v>53</v>
      </c>
      <c r="AC2" s="12" t="s">
        <v>54</v>
      </c>
      <c r="AD2" s="12" t="s">
        <v>55</v>
      </c>
      <c r="AE2" s="12" t="s">
        <v>56</v>
      </c>
      <c r="AF2" s="12" t="s">
        <v>57</v>
      </c>
      <c r="AG2" s="12" t="s">
        <v>58</v>
      </c>
      <c r="AH2" s="13" t="s">
        <v>59</v>
      </c>
      <c r="AI2" s="13" t="s">
        <v>60</v>
      </c>
      <c r="AJ2" s="13" t="s">
        <v>61</v>
      </c>
      <c r="AK2" s="13" t="s">
        <v>62</v>
      </c>
      <c r="AL2" s="13" t="s">
        <v>63</v>
      </c>
      <c r="AM2" s="13" t="s">
        <v>64</v>
      </c>
      <c r="AN2" s="13" t="s">
        <v>65</v>
      </c>
      <c r="AO2" s="12" t="s">
        <v>66</v>
      </c>
      <c r="AP2" s="12" t="s">
        <v>67</v>
      </c>
    </row>
    <row r="3" customFormat="false" ht="15" hidden="false" customHeight="true" outlineLevel="0" collapsed="false">
      <c r="A3" s="4" t="s">
        <v>68</v>
      </c>
      <c r="B3" s="4" t="s">
        <v>69</v>
      </c>
      <c r="C3" s="4" t="s">
        <v>70</v>
      </c>
      <c r="D3" s="4"/>
      <c r="E3" s="4" t="s">
        <v>71</v>
      </c>
      <c r="F3" s="4" t="s">
        <v>72</v>
      </c>
      <c r="G3" s="4"/>
      <c r="H3" s="4" t="s">
        <v>73</v>
      </c>
      <c r="I3" s="4"/>
      <c r="J3" s="4"/>
      <c r="K3" s="4" t="s">
        <v>74</v>
      </c>
      <c r="L3" s="4" t="s">
        <v>75</v>
      </c>
      <c r="M3" s="4" t="s">
        <v>76</v>
      </c>
      <c r="N3" s="14" t="n">
        <v>336</v>
      </c>
      <c r="O3" s="15" t="n">
        <v>46215</v>
      </c>
      <c r="P3" s="16" t="n">
        <v>11</v>
      </c>
      <c r="Q3" s="4" t="s">
        <v>77</v>
      </c>
      <c r="R3" s="17" t="n">
        <v>1</v>
      </c>
      <c r="S3" s="18" t="n">
        <f aca="false">IF(OR(P3="",R3=""),"",P3*R3)</f>
        <v>11</v>
      </c>
      <c r="T3" s="14" t="n">
        <v>12</v>
      </c>
      <c r="U3" s="14" t="n">
        <v>0</v>
      </c>
      <c r="V3" s="14" t="n">
        <v>0</v>
      </c>
      <c r="W3" s="14" t="n">
        <v>0</v>
      </c>
      <c r="X3" s="18" t="n">
        <f aca="false">IF(S3="","",S3+N(T3)+N(U3)+N(V3)+N(W3))</f>
        <v>23</v>
      </c>
      <c r="Y3" s="4" t="s">
        <v>78</v>
      </c>
      <c r="Z3" s="15"/>
      <c r="AA3" s="14" t="n">
        <v>391</v>
      </c>
      <c r="AB3" s="19"/>
      <c r="AC3" s="4" t="s">
        <v>79</v>
      </c>
      <c r="AD3" s="15"/>
      <c r="AE3" s="14" t="n">
        <v>313</v>
      </c>
      <c r="AF3" s="14" t="n">
        <v>313</v>
      </c>
      <c r="AG3" s="14"/>
      <c r="AH3" s="18" t="n">
        <f aca="false">IF(AND(AC3="Sold",AE3&lt;&gt;"",AF3&lt;&gt;""),AE3-AF3,"")</f>
        <v>0</v>
      </c>
      <c r="AI3" s="18" t="n">
        <f aca="false">IF(AND(AC3="Sold",AF3&lt;&gt;"",X3&lt;&gt;""),AF3-N(AG3)-X3,"")</f>
        <v>290</v>
      </c>
      <c r="AJ3" s="20" t="n">
        <f aca="false">IF(AND(AI3&lt;&gt;"",N(AE3)&gt;0),AI3/AE3,"")</f>
        <v>0.926517571884984</v>
      </c>
      <c r="AK3" s="20" t="n">
        <f aca="false">IF(AND(AI3&lt;&gt;"",N(X3)&gt;0),AI3/X3,"")</f>
        <v>12.6086956521739</v>
      </c>
      <c r="AL3" s="21" t="str">
        <f aca="false">IF(AND(AC3="Sold",AD3&lt;&gt;"",Z3&lt;&gt;""),AD3-Z3,"")</f>
        <v/>
      </c>
      <c r="AM3" s="20" t="n">
        <f aca="false">IF(AND(AC3="Sold",N(AA3)&gt;0,AE3&lt;&gt;""),1-AE3/AA3,"")</f>
        <v>0.199488491048593</v>
      </c>
      <c r="AN3" s="21" t="str">
        <f aca="true">IF(AND(AC3&lt;&gt;"Sold",AC3&lt;&gt;"",Z3&lt;&gt;""),TODAY()-Z3,"")</f>
        <v/>
      </c>
      <c r="AO3" s="4" t="s">
        <v>80</v>
      </c>
      <c r="AP3" s="4" t="s">
        <v>81</v>
      </c>
    </row>
    <row r="4" customFormat="false" ht="15" hidden="false" customHeight="true" outlineLevel="0" collapsed="false">
      <c r="A4" s="4" t="s">
        <v>82</v>
      </c>
      <c r="B4" s="4" t="s">
        <v>83</v>
      </c>
      <c r="C4" s="4"/>
      <c r="D4" s="4"/>
      <c r="E4" s="4" t="s">
        <v>84</v>
      </c>
      <c r="F4" s="4" t="s">
        <v>72</v>
      </c>
      <c r="G4" s="4"/>
      <c r="H4" s="4" t="s">
        <v>85</v>
      </c>
      <c r="I4" s="4"/>
      <c r="J4" s="4"/>
      <c r="K4" s="4" t="s">
        <v>74</v>
      </c>
      <c r="L4" s="4" t="s">
        <v>75</v>
      </c>
      <c r="M4" s="4" t="s">
        <v>76</v>
      </c>
      <c r="N4" s="14" t="n">
        <v>307</v>
      </c>
      <c r="O4" s="15" t="n">
        <v>46215</v>
      </c>
      <c r="P4" s="16" t="n">
        <v>31</v>
      </c>
      <c r="Q4" s="4" t="s">
        <v>77</v>
      </c>
      <c r="R4" s="17" t="n">
        <v>1</v>
      </c>
      <c r="S4" s="18" t="n">
        <f aca="false">IF(OR(P4="",R4=""),"",P4*R4)</f>
        <v>31</v>
      </c>
      <c r="T4" s="14" t="n">
        <v>11</v>
      </c>
      <c r="U4" s="14" t="n">
        <v>0</v>
      </c>
      <c r="V4" s="14" t="n">
        <v>0</v>
      </c>
      <c r="W4" s="14" t="n">
        <v>0</v>
      </c>
      <c r="X4" s="18" t="n">
        <f aca="false">IF(S4="","",S4+N(T4)+N(U4)+N(V4)+N(W4))</f>
        <v>42</v>
      </c>
      <c r="Y4" s="4" t="s">
        <v>78</v>
      </c>
      <c r="Z4" s="15"/>
      <c r="AA4" s="14" t="n">
        <v>153</v>
      </c>
      <c r="AB4" s="19"/>
      <c r="AC4" s="4" t="s">
        <v>79</v>
      </c>
      <c r="AD4" s="15"/>
      <c r="AE4" s="14" t="n">
        <v>102</v>
      </c>
      <c r="AF4" s="14" t="n">
        <v>102</v>
      </c>
      <c r="AG4" s="14"/>
      <c r="AH4" s="18" t="n">
        <f aca="false">IF(AND(AC4="Sold",AE4&lt;&gt;"",AF4&lt;&gt;""),AE4-AF4,"")</f>
        <v>0</v>
      </c>
      <c r="AI4" s="18" t="n">
        <f aca="false">IF(AND(AC4="Sold",AF4&lt;&gt;"",X4&lt;&gt;""),AF4-N(AG4)-X4,"")</f>
        <v>60</v>
      </c>
      <c r="AJ4" s="20" t="n">
        <f aca="false">IF(AND(AI4&lt;&gt;"",N(AE4)&gt;0),AI4/AE4,"")</f>
        <v>0.588235294117647</v>
      </c>
      <c r="AK4" s="20" t="n">
        <f aca="false">IF(AND(AI4&lt;&gt;"",N(X4)&gt;0),AI4/X4,"")</f>
        <v>1.42857142857143</v>
      </c>
      <c r="AL4" s="21" t="str">
        <f aca="false">IF(AND(AC4="Sold",AD4&lt;&gt;"",Z4&lt;&gt;""),AD4-Z4,"")</f>
        <v/>
      </c>
      <c r="AM4" s="20" t="n">
        <f aca="false">IF(AND(AC4="Sold",N(AA4)&gt;0,AE4&lt;&gt;""),1-AE4/AA4,"")</f>
        <v>0.333333333333333</v>
      </c>
      <c r="AN4" s="21" t="str">
        <f aca="true">IF(AND(AC4&lt;&gt;"Sold",AC4&lt;&gt;"",Z4&lt;&gt;""),TODAY()-Z4,"")</f>
        <v/>
      </c>
      <c r="AO4" s="4" t="s">
        <v>86</v>
      </c>
      <c r="AP4" s="4" t="s">
        <v>87</v>
      </c>
    </row>
    <row r="5" customFormat="false" ht="15" hidden="false" customHeight="true" outlineLevel="0" collapsed="false">
      <c r="A5" s="4" t="s">
        <v>88</v>
      </c>
      <c r="B5" s="4" t="s">
        <v>89</v>
      </c>
      <c r="C5" s="4" t="s">
        <v>90</v>
      </c>
      <c r="D5" s="4"/>
      <c r="E5" s="4" t="s">
        <v>91</v>
      </c>
      <c r="F5" s="4" t="s">
        <v>92</v>
      </c>
      <c r="G5" s="4"/>
      <c r="H5" s="4" t="s">
        <v>73</v>
      </c>
      <c r="I5" s="4"/>
      <c r="J5" s="4"/>
      <c r="K5" s="4" t="s">
        <v>74</v>
      </c>
      <c r="L5" s="4" t="s">
        <v>75</v>
      </c>
      <c r="M5" s="4" t="s">
        <v>76</v>
      </c>
      <c r="N5" s="14" t="n">
        <v>306</v>
      </c>
      <c r="O5" s="15" t="n">
        <v>46215</v>
      </c>
      <c r="P5" s="16" t="n">
        <v>10</v>
      </c>
      <c r="Q5" s="4" t="s">
        <v>77</v>
      </c>
      <c r="R5" s="17" t="n">
        <v>1</v>
      </c>
      <c r="S5" s="18" t="n">
        <f aca="false">IF(OR(P5="",R5=""),"",P5*R5)</f>
        <v>10</v>
      </c>
      <c r="T5" s="14" t="n">
        <v>11</v>
      </c>
      <c r="U5" s="14" t="n">
        <v>0</v>
      </c>
      <c r="V5" s="14" t="n">
        <v>0</v>
      </c>
      <c r="W5" s="14" t="n">
        <v>0</v>
      </c>
      <c r="X5" s="18" t="n">
        <f aca="false">IF(S5="","",S5+N(T5)+N(U5)+N(V5)+N(W5))</f>
        <v>21</v>
      </c>
      <c r="Y5" s="4" t="s">
        <v>78</v>
      </c>
      <c r="Z5" s="15"/>
      <c r="AA5" s="14" t="n">
        <v>255</v>
      </c>
      <c r="AB5" s="19"/>
      <c r="AC5" s="4" t="s">
        <v>79</v>
      </c>
      <c r="AD5" s="15"/>
      <c r="AE5" s="14" t="n">
        <v>204</v>
      </c>
      <c r="AF5" s="14" t="n">
        <v>204</v>
      </c>
      <c r="AG5" s="14"/>
      <c r="AH5" s="18" t="n">
        <f aca="false">IF(AND(AC5="Sold",AE5&lt;&gt;"",AF5&lt;&gt;""),AE5-AF5,"")</f>
        <v>0</v>
      </c>
      <c r="AI5" s="18" t="n">
        <f aca="false">IF(AND(AC5="Sold",AF5&lt;&gt;"",X5&lt;&gt;""),AF5-N(AG5)-X5,"")</f>
        <v>183</v>
      </c>
      <c r="AJ5" s="20" t="n">
        <f aca="false">IF(AND(AI5&lt;&gt;"",N(AE5)&gt;0),AI5/AE5,"")</f>
        <v>0.897058823529412</v>
      </c>
      <c r="AK5" s="20" t="n">
        <f aca="false">IF(AND(AI5&lt;&gt;"",N(X5)&gt;0),AI5/X5,"")</f>
        <v>8.71428571428571</v>
      </c>
      <c r="AL5" s="21" t="str">
        <f aca="false">IF(AND(AC5="Sold",AD5&lt;&gt;"",Z5&lt;&gt;""),AD5-Z5,"")</f>
        <v/>
      </c>
      <c r="AM5" s="20" t="n">
        <f aca="false">IF(AND(AC5="Sold",N(AA5)&gt;0,AE5&lt;&gt;""),1-AE5/AA5,"")</f>
        <v>0.2</v>
      </c>
      <c r="AN5" s="21" t="str">
        <f aca="true">IF(AND(AC5&lt;&gt;"Sold",AC5&lt;&gt;"",Z5&lt;&gt;""),TODAY()-Z5,"")</f>
        <v/>
      </c>
      <c r="AO5" s="4" t="s">
        <v>80</v>
      </c>
      <c r="AP5" s="4" t="s">
        <v>81</v>
      </c>
    </row>
    <row r="6" customFormat="false" ht="15" hidden="false" customHeight="true" outlineLevel="0" collapsed="false">
      <c r="A6" s="4" t="s">
        <v>93</v>
      </c>
      <c r="B6" s="4" t="s">
        <v>94</v>
      </c>
      <c r="C6" s="4" t="s">
        <v>95</v>
      </c>
      <c r="D6" s="4"/>
      <c r="E6" s="4" t="s">
        <v>91</v>
      </c>
      <c r="F6" s="4" t="s">
        <v>72</v>
      </c>
      <c r="G6" s="4"/>
      <c r="H6" s="4" t="s">
        <v>96</v>
      </c>
      <c r="I6" s="4"/>
      <c r="J6" s="4"/>
      <c r="K6" s="4" t="s">
        <v>74</v>
      </c>
      <c r="L6" s="4" t="s">
        <v>75</v>
      </c>
      <c r="M6" s="4" t="s">
        <v>76</v>
      </c>
      <c r="N6" s="14" t="n">
        <v>333</v>
      </c>
      <c r="O6" s="15" t="n">
        <v>46215</v>
      </c>
      <c r="P6" s="16" t="n">
        <v>33</v>
      </c>
      <c r="Q6" s="4" t="s">
        <v>77</v>
      </c>
      <c r="R6" s="17" t="n">
        <v>1</v>
      </c>
      <c r="S6" s="18" t="n">
        <f aca="false">IF(OR(P6="",R6=""),"",P6*R6)</f>
        <v>33</v>
      </c>
      <c r="T6" s="14" t="n">
        <v>12</v>
      </c>
      <c r="U6" s="14" t="n">
        <v>0</v>
      </c>
      <c r="V6" s="14" t="n">
        <v>0</v>
      </c>
      <c r="W6" s="14" t="n">
        <v>0</v>
      </c>
      <c r="X6" s="18" t="n">
        <f aca="false">IF(S6="","",S6+N(T6)+N(U6)+N(V6)+N(W6))</f>
        <v>45</v>
      </c>
      <c r="Y6" s="4" t="s">
        <v>78</v>
      </c>
      <c r="Z6" s="15"/>
      <c r="AA6" s="14" t="n">
        <v>222</v>
      </c>
      <c r="AB6" s="19"/>
      <c r="AC6" s="4" t="s">
        <v>79</v>
      </c>
      <c r="AD6" s="15"/>
      <c r="AE6" s="14" t="n">
        <v>139</v>
      </c>
      <c r="AF6" s="14" t="n">
        <v>139</v>
      </c>
      <c r="AG6" s="14"/>
      <c r="AH6" s="18" t="n">
        <f aca="false">IF(AND(AC6="Sold",AE6&lt;&gt;"",AF6&lt;&gt;""),AE6-AF6,"")</f>
        <v>0</v>
      </c>
      <c r="AI6" s="18" t="n">
        <f aca="false">IF(AND(AC6="Sold",AF6&lt;&gt;"",X6&lt;&gt;""),AF6-N(AG6)-X6,"")</f>
        <v>94</v>
      </c>
      <c r="AJ6" s="20" t="n">
        <f aca="false">IF(AND(AI6&lt;&gt;"",N(AE6)&gt;0),AI6/AE6,"")</f>
        <v>0.676258992805755</v>
      </c>
      <c r="AK6" s="20" t="n">
        <f aca="false">IF(AND(AI6&lt;&gt;"",N(X6)&gt;0),AI6/X6,"")</f>
        <v>2.08888888888889</v>
      </c>
      <c r="AL6" s="21" t="str">
        <f aca="false">IF(AND(AC6="Sold",AD6&lt;&gt;"",Z6&lt;&gt;""),AD6-Z6,"")</f>
        <v/>
      </c>
      <c r="AM6" s="20" t="n">
        <f aca="false">IF(AND(AC6="Sold",N(AA6)&gt;0,AE6&lt;&gt;""),1-AE6/AA6,"")</f>
        <v>0.373873873873874</v>
      </c>
      <c r="AN6" s="21" t="str">
        <f aca="true">IF(AND(AC6&lt;&gt;"Sold",AC6&lt;&gt;"",Z6&lt;&gt;""),TODAY()-Z6,"")</f>
        <v/>
      </c>
      <c r="AO6" s="4" t="s">
        <v>86</v>
      </c>
      <c r="AP6" s="4" t="s">
        <v>97</v>
      </c>
    </row>
    <row r="7" customFormat="false" ht="15" hidden="false" customHeight="true" outlineLevel="0" collapsed="false">
      <c r="A7" s="4" t="s">
        <v>98</v>
      </c>
      <c r="B7" s="4" t="s">
        <v>99</v>
      </c>
      <c r="C7" s="4"/>
      <c r="D7" s="4"/>
      <c r="E7" s="4" t="s">
        <v>100</v>
      </c>
      <c r="F7" s="4" t="s">
        <v>72</v>
      </c>
      <c r="G7" s="4"/>
      <c r="H7" s="4" t="s">
        <v>73</v>
      </c>
      <c r="I7" s="4"/>
      <c r="J7" s="4"/>
      <c r="K7" s="4" t="s">
        <v>74</v>
      </c>
      <c r="L7" s="4" t="s">
        <v>75</v>
      </c>
      <c r="M7" s="4" t="s">
        <v>76</v>
      </c>
      <c r="N7" s="14" t="n">
        <v>260</v>
      </c>
      <c r="O7" s="15" t="n">
        <v>46204</v>
      </c>
      <c r="P7" s="16" t="n">
        <v>35</v>
      </c>
      <c r="Q7" s="4" t="s">
        <v>77</v>
      </c>
      <c r="R7" s="17" t="n">
        <v>1</v>
      </c>
      <c r="S7" s="18" t="n">
        <f aca="false">IF(OR(P7="",R7=""),"",P7*R7)</f>
        <v>35</v>
      </c>
      <c r="T7" s="14" t="n">
        <v>10</v>
      </c>
      <c r="U7" s="14" t="n">
        <v>0</v>
      </c>
      <c r="V7" s="14" t="n">
        <v>0</v>
      </c>
      <c r="W7" s="14" t="n">
        <v>0</v>
      </c>
      <c r="X7" s="18" t="n">
        <f aca="false">IF(S7="","",S7+N(T7)+N(U7)+N(V7)+N(W7))</f>
        <v>45</v>
      </c>
      <c r="Y7" s="4" t="s">
        <v>101</v>
      </c>
      <c r="Z7" s="15"/>
      <c r="AA7" s="14" t="n">
        <v>87</v>
      </c>
      <c r="AB7" s="19"/>
      <c r="AC7" s="4" t="s">
        <v>79</v>
      </c>
      <c r="AD7" s="15"/>
      <c r="AE7" s="14" t="n">
        <v>61</v>
      </c>
      <c r="AF7" s="14" t="n">
        <v>52</v>
      </c>
      <c r="AG7" s="14"/>
      <c r="AH7" s="18" t="n">
        <f aca="false">IF(AND(AC7="Sold",AE7&lt;&gt;"",AF7&lt;&gt;""),AE7-AF7,"")</f>
        <v>9</v>
      </c>
      <c r="AI7" s="18" t="n">
        <f aca="false">IF(AND(AC7="Sold",AF7&lt;&gt;"",X7&lt;&gt;""),AF7-N(AG7)-X7,"")</f>
        <v>7</v>
      </c>
      <c r="AJ7" s="20" t="n">
        <f aca="false">IF(AND(AI7&lt;&gt;"",N(AE7)&gt;0),AI7/AE7,"")</f>
        <v>0.114754098360656</v>
      </c>
      <c r="AK7" s="20" t="n">
        <f aca="false">IF(AND(AI7&lt;&gt;"",N(X7)&gt;0),AI7/X7,"")</f>
        <v>0.155555555555556</v>
      </c>
      <c r="AL7" s="21" t="str">
        <f aca="false">IF(AND(AC7="Sold",AD7&lt;&gt;"",Z7&lt;&gt;""),AD7-Z7,"")</f>
        <v/>
      </c>
      <c r="AM7" s="20" t="n">
        <f aca="false">IF(AND(AC7="Sold",N(AA7)&gt;0,AE7&lt;&gt;""),1-AE7/AA7,"")</f>
        <v>0.298850574712644</v>
      </c>
      <c r="AN7" s="21" t="str">
        <f aca="true">IF(AND(AC7&lt;&gt;"Sold",AC7&lt;&gt;"",Z7&lt;&gt;""),TODAY()-Z7,"")</f>
        <v/>
      </c>
      <c r="AO7" s="4" t="s">
        <v>80</v>
      </c>
      <c r="AP7" s="4" t="s">
        <v>81</v>
      </c>
    </row>
    <row r="8" customFormat="false" ht="15" hidden="false" customHeight="true" outlineLevel="0" collapsed="false">
      <c r="A8" s="4" t="s">
        <v>102</v>
      </c>
      <c r="B8" s="4" t="s">
        <v>69</v>
      </c>
      <c r="C8" s="4"/>
      <c r="D8" s="4"/>
      <c r="E8" s="4" t="s">
        <v>84</v>
      </c>
      <c r="F8" s="4" t="s">
        <v>103</v>
      </c>
      <c r="G8" s="4"/>
      <c r="H8" s="4" t="s">
        <v>73</v>
      </c>
      <c r="I8" s="4"/>
      <c r="J8" s="4"/>
      <c r="K8" s="4" t="s">
        <v>74</v>
      </c>
      <c r="L8" s="4" t="s">
        <v>75</v>
      </c>
      <c r="M8" s="4" t="s">
        <v>76</v>
      </c>
      <c r="N8" s="14" t="n">
        <v>266</v>
      </c>
      <c r="O8" s="15" t="n">
        <v>46215</v>
      </c>
      <c r="P8" s="16" t="n">
        <v>9</v>
      </c>
      <c r="Q8" s="4" t="s">
        <v>77</v>
      </c>
      <c r="R8" s="17" t="n">
        <v>1</v>
      </c>
      <c r="S8" s="18" t="n">
        <f aca="false">IF(OR(P8="",R8=""),"",P8*R8)</f>
        <v>9</v>
      </c>
      <c r="T8" s="14" t="n">
        <v>10</v>
      </c>
      <c r="U8" s="14" t="n">
        <v>0</v>
      </c>
      <c r="V8" s="14" t="n">
        <v>0</v>
      </c>
      <c r="W8" s="14" t="n">
        <v>0</v>
      </c>
      <c r="X8" s="18" t="n">
        <f aca="false">IF(S8="","",S8+N(T8)+N(U8)+N(V8)+N(W8))</f>
        <v>19</v>
      </c>
      <c r="Y8" s="4" t="s">
        <v>104</v>
      </c>
      <c r="Z8" s="15"/>
      <c r="AA8" s="14" t="n">
        <v>89</v>
      </c>
      <c r="AB8" s="19"/>
      <c r="AC8" s="4" t="s">
        <v>79</v>
      </c>
      <c r="AD8" s="15"/>
      <c r="AE8" s="14" t="n">
        <v>133</v>
      </c>
      <c r="AF8" s="14" t="n">
        <v>133</v>
      </c>
      <c r="AG8" s="14"/>
      <c r="AH8" s="18" t="n">
        <f aca="false">IF(AND(AC8="Sold",AE8&lt;&gt;"",AF8&lt;&gt;""),AE8-AF8,"")</f>
        <v>0</v>
      </c>
      <c r="AI8" s="18" t="n">
        <f aca="false">IF(AND(AC8="Sold",AF8&lt;&gt;"",X8&lt;&gt;""),AF8-N(AG8)-X8,"")</f>
        <v>114</v>
      </c>
      <c r="AJ8" s="20" t="n">
        <f aca="false">IF(AND(AI8&lt;&gt;"",N(AE8)&gt;0),AI8/AE8,"")</f>
        <v>0.857142857142857</v>
      </c>
      <c r="AK8" s="20" t="n">
        <f aca="false">IF(AND(AI8&lt;&gt;"",N(X8)&gt;0),AI8/X8,"")</f>
        <v>6</v>
      </c>
      <c r="AL8" s="21" t="str">
        <f aca="false">IF(AND(AC8="Sold",AD8&lt;&gt;"",Z8&lt;&gt;""),AD8-Z8,"")</f>
        <v/>
      </c>
      <c r="AM8" s="20" t="n">
        <f aca="false">IF(AND(AC8="Sold",N(AA8)&gt;0,AE8&lt;&gt;""),1-AE8/AA8,"")</f>
        <v>-0.49438202247191</v>
      </c>
      <c r="AN8" s="21" t="str">
        <f aca="true">IF(AND(AC8&lt;&gt;"Sold",AC8&lt;&gt;"",Z8&lt;&gt;""),TODAY()-Z8,"")</f>
        <v/>
      </c>
      <c r="AO8" s="4" t="s">
        <v>80</v>
      </c>
      <c r="AP8" s="4" t="s">
        <v>105</v>
      </c>
    </row>
    <row r="9" customFormat="false" ht="15" hidden="false" customHeight="true" outlineLevel="0" collapsed="false">
      <c r="A9" s="4" t="s">
        <v>106</v>
      </c>
      <c r="B9" s="4" t="s">
        <v>99</v>
      </c>
      <c r="C9" s="4"/>
      <c r="D9" s="4"/>
      <c r="E9" s="4" t="s">
        <v>107</v>
      </c>
      <c r="F9" s="4" t="s">
        <v>72</v>
      </c>
      <c r="G9" s="4"/>
      <c r="H9" s="4" t="s">
        <v>96</v>
      </c>
      <c r="I9" s="4"/>
      <c r="J9" s="4"/>
      <c r="K9" s="4" t="s">
        <v>74</v>
      </c>
      <c r="L9" s="4" t="s">
        <v>75</v>
      </c>
      <c r="M9" s="4" t="s">
        <v>76</v>
      </c>
      <c r="N9" s="14" t="n">
        <v>261</v>
      </c>
      <c r="O9" s="15" t="n">
        <v>46215</v>
      </c>
      <c r="P9" s="16" t="n">
        <v>26</v>
      </c>
      <c r="Q9" s="4" t="s">
        <v>77</v>
      </c>
      <c r="R9" s="17" t="n">
        <v>1</v>
      </c>
      <c r="S9" s="18" t="n">
        <f aca="false">IF(OR(P9="",R9=""),"",P9*R9)</f>
        <v>26</v>
      </c>
      <c r="T9" s="14" t="n">
        <v>10</v>
      </c>
      <c r="U9" s="14" t="n">
        <v>0</v>
      </c>
      <c r="V9" s="14" t="n">
        <v>0</v>
      </c>
      <c r="W9" s="14" t="n">
        <v>0</v>
      </c>
      <c r="X9" s="18" t="n">
        <f aca="false">IF(S9="","",S9+N(T9)+N(U9)+N(V9)+N(W9))</f>
        <v>36</v>
      </c>
      <c r="Y9" s="4" t="s">
        <v>104</v>
      </c>
      <c r="Z9" s="15"/>
      <c r="AA9" s="14" t="n">
        <v>87</v>
      </c>
      <c r="AB9" s="19"/>
      <c r="AC9" s="4" t="s">
        <v>79</v>
      </c>
      <c r="AD9" s="15"/>
      <c r="AE9" s="14" t="n">
        <v>174</v>
      </c>
      <c r="AF9" s="14" t="n">
        <v>174</v>
      </c>
      <c r="AG9" s="14"/>
      <c r="AH9" s="18" t="n">
        <f aca="false">IF(AND(AC9="Sold",AE9&lt;&gt;"",AF9&lt;&gt;""),AE9-AF9,"")</f>
        <v>0</v>
      </c>
      <c r="AI9" s="18" t="n">
        <f aca="false">IF(AND(AC9="Sold",AF9&lt;&gt;"",X9&lt;&gt;""),AF9-N(AG9)-X9,"")</f>
        <v>138</v>
      </c>
      <c r="AJ9" s="20" t="n">
        <f aca="false">IF(AND(AI9&lt;&gt;"",N(AE9)&gt;0),AI9/AE9,"")</f>
        <v>0.793103448275862</v>
      </c>
      <c r="AK9" s="20" t="n">
        <f aca="false">IF(AND(AI9&lt;&gt;"",N(X9)&gt;0),AI9/X9,"")</f>
        <v>3.83333333333333</v>
      </c>
      <c r="AL9" s="21" t="str">
        <f aca="false">IF(AND(AC9="Sold",AD9&lt;&gt;"",Z9&lt;&gt;""),AD9-Z9,"")</f>
        <v/>
      </c>
      <c r="AM9" s="20" t="n">
        <f aca="false">IF(AND(AC9="Sold",N(AA9)&gt;0,AE9&lt;&gt;""),1-AE9/AA9,"")</f>
        <v>-1</v>
      </c>
      <c r="AN9" s="21" t="str">
        <f aca="true">IF(AND(AC9&lt;&gt;"Sold",AC9&lt;&gt;"",Z9&lt;&gt;""),TODAY()-Z9,"")</f>
        <v/>
      </c>
      <c r="AO9" s="4" t="s">
        <v>86</v>
      </c>
      <c r="AP9" s="4" t="s">
        <v>108</v>
      </c>
    </row>
    <row r="10" customFormat="false" ht="15" hidden="false" customHeight="true" outlineLevel="0" collapsed="false">
      <c r="A10" s="4" t="s">
        <v>109</v>
      </c>
      <c r="B10" s="4" t="s">
        <v>99</v>
      </c>
      <c r="C10" s="4"/>
      <c r="D10" s="4"/>
      <c r="E10" s="4" t="s">
        <v>110</v>
      </c>
      <c r="F10" s="4" t="s">
        <v>72</v>
      </c>
      <c r="G10" s="4"/>
      <c r="H10" s="4" t="s">
        <v>73</v>
      </c>
      <c r="I10" s="4"/>
      <c r="J10" s="4"/>
      <c r="K10" s="4" t="s">
        <v>74</v>
      </c>
      <c r="L10" s="4" t="s">
        <v>75</v>
      </c>
      <c r="M10" s="4" t="s">
        <v>76</v>
      </c>
      <c r="N10" s="14" t="n">
        <v>299</v>
      </c>
      <c r="O10" s="15" t="n">
        <v>46215</v>
      </c>
      <c r="P10" s="16" t="n">
        <v>30</v>
      </c>
      <c r="Q10" s="4" t="s">
        <v>77</v>
      </c>
      <c r="R10" s="17" t="n">
        <v>1</v>
      </c>
      <c r="S10" s="18" t="n">
        <f aca="false">IF(OR(P10="",R10=""),"",P10*R10)</f>
        <v>30</v>
      </c>
      <c r="T10" s="14" t="n">
        <v>11</v>
      </c>
      <c r="U10" s="14" t="n">
        <v>0</v>
      </c>
      <c r="V10" s="14" t="n">
        <v>0</v>
      </c>
      <c r="W10" s="14" t="n">
        <v>0</v>
      </c>
      <c r="X10" s="18" t="n">
        <f aca="false">IF(S10="","",S10+N(T10)+N(U10)+N(V10)+N(W10))</f>
        <v>41</v>
      </c>
      <c r="Y10" s="4" t="s">
        <v>104</v>
      </c>
      <c r="Z10" s="15"/>
      <c r="AA10" s="14" t="n">
        <v>100</v>
      </c>
      <c r="AB10" s="19"/>
      <c r="AC10" s="4" t="s">
        <v>79</v>
      </c>
      <c r="AD10" s="15"/>
      <c r="AE10" s="14" t="n">
        <v>150</v>
      </c>
      <c r="AF10" s="14" t="n">
        <v>150</v>
      </c>
      <c r="AG10" s="14"/>
      <c r="AH10" s="18" t="n">
        <f aca="false">IF(AND(AC10="Sold",AE10&lt;&gt;"",AF10&lt;&gt;""),AE10-AF10,"")</f>
        <v>0</v>
      </c>
      <c r="AI10" s="18" t="n">
        <f aca="false">IF(AND(AC10="Sold",AF10&lt;&gt;"",X10&lt;&gt;""),AF10-N(AG10)-X10,"")</f>
        <v>109</v>
      </c>
      <c r="AJ10" s="20" t="n">
        <f aca="false">IF(AND(AI10&lt;&gt;"",N(AE10)&gt;0),AI10/AE10,"")</f>
        <v>0.726666666666667</v>
      </c>
      <c r="AK10" s="20" t="n">
        <f aca="false">IF(AND(AI10&lt;&gt;"",N(X10)&gt;0),AI10/X10,"")</f>
        <v>2.65853658536585</v>
      </c>
      <c r="AL10" s="21" t="str">
        <f aca="false">IF(AND(AC10="Sold",AD10&lt;&gt;"",Z10&lt;&gt;""),AD10-Z10,"")</f>
        <v/>
      </c>
      <c r="AM10" s="20" t="n">
        <f aca="false">IF(AND(AC10="Sold",N(AA10)&gt;0,AE10&lt;&gt;""),1-AE10/AA10,"")</f>
        <v>-0.5</v>
      </c>
      <c r="AN10" s="21" t="str">
        <f aca="true">IF(AND(AC10&lt;&gt;"Sold",AC10&lt;&gt;"",Z10&lt;&gt;""),TODAY()-Z10,"")</f>
        <v/>
      </c>
      <c r="AO10" s="4" t="s">
        <v>86</v>
      </c>
      <c r="AP10" s="4" t="s">
        <v>108</v>
      </c>
    </row>
    <row r="11" customFormat="false" ht="15" hidden="false" customHeight="true" outlineLevel="0" collapsed="false">
      <c r="A11" s="4" t="s">
        <v>111</v>
      </c>
      <c r="B11" s="4" t="s">
        <v>83</v>
      </c>
      <c r="C11" s="4"/>
      <c r="D11" s="4"/>
      <c r="E11" s="4" t="s">
        <v>112</v>
      </c>
      <c r="F11" s="4" t="s">
        <v>72</v>
      </c>
      <c r="G11" s="4"/>
      <c r="H11" s="4" t="s">
        <v>73</v>
      </c>
      <c r="I11" s="4"/>
      <c r="J11" s="4"/>
      <c r="K11" s="4" t="s">
        <v>74</v>
      </c>
      <c r="L11" s="4" t="s">
        <v>75</v>
      </c>
      <c r="M11" s="4" t="s">
        <v>76</v>
      </c>
      <c r="N11" s="14" t="n">
        <v>266</v>
      </c>
      <c r="O11" s="15" t="n">
        <v>46215</v>
      </c>
      <c r="P11" s="16" t="n">
        <v>9</v>
      </c>
      <c r="Q11" s="4" t="s">
        <v>77</v>
      </c>
      <c r="R11" s="17" t="n">
        <v>1</v>
      </c>
      <c r="S11" s="18" t="n">
        <f aca="false">IF(OR(P11="",R11=""),"",P11*R11)</f>
        <v>9</v>
      </c>
      <c r="T11" s="14" t="n">
        <v>10</v>
      </c>
      <c r="U11" s="14" t="n">
        <v>0</v>
      </c>
      <c r="V11" s="14" t="n">
        <v>0</v>
      </c>
      <c r="W11" s="14" t="n">
        <v>0</v>
      </c>
      <c r="X11" s="18" t="n">
        <f aca="false">IF(S11="","",S11+N(T11)+N(U11)+N(V11)+N(W11))</f>
        <v>19</v>
      </c>
      <c r="Y11" s="4" t="s">
        <v>104</v>
      </c>
      <c r="Z11" s="15"/>
      <c r="AA11" s="14" t="n">
        <v>89</v>
      </c>
      <c r="AB11" s="19"/>
      <c r="AC11" s="4" t="s">
        <v>79</v>
      </c>
      <c r="AD11" s="15"/>
      <c r="AE11" s="14" t="n">
        <v>133</v>
      </c>
      <c r="AF11" s="14" t="n">
        <v>133</v>
      </c>
      <c r="AG11" s="14"/>
      <c r="AH11" s="18" t="n">
        <f aca="false">IF(AND(AC11="Sold",AE11&lt;&gt;"",AF11&lt;&gt;""),AE11-AF11,"")</f>
        <v>0</v>
      </c>
      <c r="AI11" s="18" t="n">
        <f aca="false">IF(AND(AC11="Sold",AF11&lt;&gt;"",X11&lt;&gt;""),AF11-N(AG11)-X11,"")</f>
        <v>114</v>
      </c>
      <c r="AJ11" s="20" t="n">
        <f aca="false">IF(AND(AI11&lt;&gt;"",N(AE11)&gt;0),AI11/AE11,"")</f>
        <v>0.857142857142857</v>
      </c>
      <c r="AK11" s="20" t="n">
        <f aca="false">IF(AND(AI11&lt;&gt;"",N(X11)&gt;0),AI11/X11,"")</f>
        <v>6</v>
      </c>
      <c r="AL11" s="21" t="str">
        <f aca="false">IF(AND(AC11="Sold",AD11&lt;&gt;"",Z11&lt;&gt;""),AD11-Z11,"")</f>
        <v/>
      </c>
      <c r="AM11" s="20" t="n">
        <f aca="false">IF(AND(AC11="Sold",N(AA11)&gt;0,AE11&lt;&gt;""),1-AE11/AA11,"")</f>
        <v>-0.49438202247191</v>
      </c>
      <c r="AN11" s="21" t="str">
        <f aca="true">IF(AND(AC11&lt;&gt;"Sold",AC11&lt;&gt;"",Z11&lt;&gt;""),TODAY()-Z11,"")</f>
        <v/>
      </c>
      <c r="AO11" s="4" t="s">
        <v>86</v>
      </c>
      <c r="AP11" s="4" t="s">
        <v>97</v>
      </c>
    </row>
    <row r="12" customFormat="false" ht="15" hidden="false" customHeight="true" outlineLevel="0" collapsed="false">
      <c r="A12" s="4" t="s">
        <v>113</v>
      </c>
      <c r="B12" s="4" t="s">
        <v>94</v>
      </c>
      <c r="C12" s="4" t="s">
        <v>114</v>
      </c>
      <c r="D12" s="4"/>
      <c r="E12" s="4"/>
      <c r="F12" s="4" t="s">
        <v>72</v>
      </c>
      <c r="G12" s="4"/>
      <c r="H12" s="4" t="s">
        <v>73</v>
      </c>
      <c r="I12" s="4"/>
      <c r="J12" s="4"/>
      <c r="K12" s="4" t="s">
        <v>74</v>
      </c>
      <c r="L12" s="4" t="s">
        <v>75</v>
      </c>
      <c r="M12" s="4" t="s">
        <v>76</v>
      </c>
      <c r="N12" s="14" t="n">
        <v>313</v>
      </c>
      <c r="O12" s="15" t="n">
        <v>46215</v>
      </c>
      <c r="P12" s="16" t="n">
        <v>10</v>
      </c>
      <c r="Q12" s="4" t="s">
        <v>77</v>
      </c>
      <c r="R12" s="17" t="n">
        <v>1</v>
      </c>
      <c r="S12" s="18" t="n">
        <f aca="false">IF(OR(P12="",R12=""),"",P12*R12)</f>
        <v>10</v>
      </c>
      <c r="T12" s="14" t="n">
        <v>11</v>
      </c>
      <c r="U12" s="14" t="n">
        <v>0</v>
      </c>
      <c r="V12" s="14" t="n">
        <v>0</v>
      </c>
      <c r="W12" s="14" t="n">
        <v>0</v>
      </c>
      <c r="X12" s="18" t="n">
        <f aca="false">IF(S12="","",S12+N(T12)+N(U12)+N(V12)+N(W12))</f>
        <v>21</v>
      </c>
      <c r="Y12" s="4" t="s">
        <v>104</v>
      </c>
      <c r="Z12" s="15"/>
      <c r="AA12" s="14" t="n">
        <v>104</v>
      </c>
      <c r="AB12" s="19"/>
      <c r="AC12" s="4" t="s">
        <v>79</v>
      </c>
      <c r="AD12" s="15"/>
      <c r="AE12" s="14" t="n">
        <v>188</v>
      </c>
      <c r="AF12" s="14" t="n">
        <v>188</v>
      </c>
      <c r="AG12" s="14"/>
      <c r="AH12" s="18" t="n">
        <f aca="false">IF(AND(AC12="Sold",AE12&lt;&gt;"",AF12&lt;&gt;""),AE12-AF12,"")</f>
        <v>0</v>
      </c>
      <c r="AI12" s="18" t="n">
        <f aca="false">IF(AND(AC12="Sold",AF12&lt;&gt;"",X12&lt;&gt;""),AF12-N(AG12)-X12,"")</f>
        <v>167</v>
      </c>
      <c r="AJ12" s="20" t="n">
        <f aca="false">IF(AND(AI12&lt;&gt;"",N(AE12)&gt;0),AI12/AE12,"")</f>
        <v>0.888297872340426</v>
      </c>
      <c r="AK12" s="20" t="n">
        <f aca="false">IF(AND(AI12&lt;&gt;"",N(X12)&gt;0),AI12/X12,"")</f>
        <v>7.95238095238095</v>
      </c>
      <c r="AL12" s="21" t="str">
        <f aca="false">IF(AND(AC12="Sold",AD12&lt;&gt;"",Z12&lt;&gt;""),AD12-Z12,"")</f>
        <v/>
      </c>
      <c r="AM12" s="20" t="n">
        <f aca="false">IF(AND(AC12="Sold",N(AA12)&gt;0,AE12&lt;&gt;""),1-AE12/AA12,"")</f>
        <v>-0.807692307692308</v>
      </c>
      <c r="AN12" s="21" t="str">
        <f aca="true">IF(AND(AC12&lt;&gt;"Sold",AC12&lt;&gt;"",Z12&lt;&gt;""),TODAY()-Z12,"")</f>
        <v/>
      </c>
      <c r="AO12" s="4" t="s">
        <v>86</v>
      </c>
      <c r="AP12" s="4" t="s">
        <v>108</v>
      </c>
    </row>
    <row r="13" customFormat="false" ht="15" hidden="false" customHeight="true" outlineLevel="0" collapsed="false">
      <c r="A13" s="4" t="s">
        <v>115</v>
      </c>
      <c r="B13" s="4" t="s">
        <v>83</v>
      </c>
      <c r="C13" s="4"/>
      <c r="D13" s="4"/>
      <c r="E13" s="4" t="s">
        <v>116</v>
      </c>
      <c r="F13" s="4" t="s">
        <v>117</v>
      </c>
      <c r="G13" s="4"/>
      <c r="H13" s="4" t="s">
        <v>73</v>
      </c>
      <c r="I13" s="4"/>
      <c r="J13" s="4"/>
      <c r="K13" s="4" t="s">
        <v>74</v>
      </c>
      <c r="L13" s="4" t="s">
        <v>75</v>
      </c>
      <c r="M13" s="4" t="s">
        <v>76</v>
      </c>
      <c r="N13" s="14" t="n">
        <v>264</v>
      </c>
      <c r="O13" s="15" t="n">
        <v>46215</v>
      </c>
      <c r="P13" s="16" t="n">
        <v>9</v>
      </c>
      <c r="Q13" s="4" t="s">
        <v>77</v>
      </c>
      <c r="R13" s="17" t="n">
        <v>1</v>
      </c>
      <c r="S13" s="18" t="n">
        <f aca="false">IF(OR(P13="",R13=""),"",P13*R13)</f>
        <v>9</v>
      </c>
      <c r="T13" s="14" t="n">
        <v>10</v>
      </c>
      <c r="U13" s="14" t="n">
        <v>0</v>
      </c>
      <c r="V13" s="14" t="n">
        <v>0</v>
      </c>
      <c r="W13" s="14" t="n">
        <v>0</v>
      </c>
      <c r="X13" s="18" t="n">
        <f aca="false">IF(S13="","",S13+N(T13)+N(U13)+N(V13)+N(W13))</f>
        <v>19</v>
      </c>
      <c r="Y13" s="4" t="s">
        <v>104</v>
      </c>
      <c r="Z13" s="15"/>
      <c r="AA13" s="14" t="n">
        <v>88</v>
      </c>
      <c r="AB13" s="19"/>
      <c r="AC13" s="4" t="s">
        <v>79</v>
      </c>
      <c r="AD13" s="15"/>
      <c r="AE13" s="14" t="n">
        <v>176</v>
      </c>
      <c r="AF13" s="14" t="n">
        <v>176</v>
      </c>
      <c r="AG13" s="14"/>
      <c r="AH13" s="18" t="n">
        <f aca="false">IF(AND(AC13="Sold",AE13&lt;&gt;"",AF13&lt;&gt;""),AE13-AF13,"")</f>
        <v>0</v>
      </c>
      <c r="AI13" s="18" t="n">
        <f aca="false">IF(AND(AC13="Sold",AF13&lt;&gt;"",X13&lt;&gt;""),AF13-N(AG13)-X13,"")</f>
        <v>157</v>
      </c>
      <c r="AJ13" s="20" t="n">
        <f aca="false">IF(AND(AI13&lt;&gt;"",N(AE13)&gt;0),AI13/AE13,"")</f>
        <v>0.892045454545455</v>
      </c>
      <c r="AK13" s="20" t="n">
        <f aca="false">IF(AND(AI13&lt;&gt;"",N(X13)&gt;0),AI13/X13,"")</f>
        <v>8.26315789473684</v>
      </c>
      <c r="AL13" s="21" t="str">
        <f aca="false">IF(AND(AC13="Sold",AD13&lt;&gt;"",Z13&lt;&gt;""),AD13-Z13,"")</f>
        <v/>
      </c>
      <c r="AM13" s="20" t="n">
        <f aca="false">IF(AND(AC13="Sold",N(AA13)&gt;0,AE13&lt;&gt;""),1-AE13/AA13,"")</f>
        <v>-1</v>
      </c>
      <c r="AN13" s="21" t="str">
        <f aca="true">IF(AND(AC13&lt;&gt;"Sold",AC13&lt;&gt;"",Z13&lt;&gt;""),TODAY()-Z13,"")</f>
        <v/>
      </c>
      <c r="AO13" s="4" t="s">
        <v>86</v>
      </c>
      <c r="AP13" s="4" t="s">
        <v>108</v>
      </c>
    </row>
    <row r="14" customFormat="false" ht="15" hidden="false" customHeight="true" outlineLevel="0" collapsed="false">
      <c r="A14" s="4" t="s">
        <v>118</v>
      </c>
      <c r="B14" s="4" t="s">
        <v>89</v>
      </c>
      <c r="C14" s="4" t="s">
        <v>119</v>
      </c>
      <c r="D14" s="4"/>
      <c r="E14" s="4" t="s">
        <v>120</v>
      </c>
      <c r="F14" s="4" t="s">
        <v>92</v>
      </c>
      <c r="G14" s="4"/>
      <c r="H14" s="4" t="s">
        <v>96</v>
      </c>
      <c r="I14" s="4"/>
      <c r="J14" s="4" t="s">
        <v>121</v>
      </c>
      <c r="K14" s="4" t="s">
        <v>122</v>
      </c>
      <c r="L14" s="4" t="s">
        <v>123</v>
      </c>
      <c r="M14" s="4" t="s">
        <v>124</v>
      </c>
      <c r="N14" s="14" t="n">
        <v>244</v>
      </c>
      <c r="O14" s="15" t="n">
        <v>46223</v>
      </c>
      <c r="P14" s="16" t="n">
        <v>244</v>
      </c>
      <c r="Q14" s="4" t="s">
        <v>77</v>
      </c>
      <c r="R14" s="17" t="n">
        <v>1</v>
      </c>
      <c r="S14" s="18" t="n">
        <f aca="false">IF(OR(P14="",R14=""),"",P14*R14)</f>
        <v>244</v>
      </c>
      <c r="T14" s="14" t="n">
        <v>49</v>
      </c>
      <c r="U14" s="14" t="n">
        <v>0</v>
      </c>
      <c r="V14" s="14" t="n">
        <v>0</v>
      </c>
      <c r="W14" s="14" t="n">
        <v>0</v>
      </c>
      <c r="X14" s="18" t="n">
        <f aca="false">IF(S14="","",S14+N(T14)+N(U14)+N(V14)+N(W14))</f>
        <v>293</v>
      </c>
      <c r="Y14" s="4" t="s">
        <v>125</v>
      </c>
      <c r="Z14" s="15"/>
      <c r="AA14" s="14" t="n">
        <v>1229</v>
      </c>
      <c r="AB14" s="19"/>
      <c r="AC14" s="4" t="s">
        <v>79</v>
      </c>
      <c r="AD14" s="15"/>
      <c r="AE14" s="14" t="n">
        <v>614</v>
      </c>
      <c r="AF14" s="14" t="n">
        <v>497</v>
      </c>
      <c r="AG14" s="14"/>
      <c r="AH14" s="18" t="n">
        <f aca="false">IF(AND(AC14="Sold",AE14&lt;&gt;"",AF14&lt;&gt;""),AE14-AF14,"")</f>
        <v>117</v>
      </c>
      <c r="AI14" s="18" t="n">
        <f aca="false">IF(AND(AC14="Sold",AF14&lt;&gt;"",X14&lt;&gt;""),AF14-N(AG14)-X14,"")</f>
        <v>204</v>
      </c>
      <c r="AJ14" s="20" t="n">
        <f aca="false">IF(AND(AI14&lt;&gt;"",N(AE14)&gt;0),AI14/AE14,"")</f>
        <v>0.332247557003257</v>
      </c>
      <c r="AK14" s="20" t="n">
        <f aca="false">IF(AND(AI14&lt;&gt;"",N(X14)&gt;0),AI14/X14,"")</f>
        <v>0.696245733788396</v>
      </c>
      <c r="AL14" s="21" t="str">
        <f aca="false">IF(AND(AC14="Sold",AD14&lt;&gt;"",Z14&lt;&gt;""),AD14-Z14,"")</f>
        <v/>
      </c>
      <c r="AM14" s="20" t="n">
        <f aca="false">IF(AND(AC14="Sold",N(AA14)&gt;0,AE14&lt;&gt;""),1-AE14/AA14,"")</f>
        <v>0.500406834825061</v>
      </c>
      <c r="AN14" s="21" t="str">
        <f aca="true">IF(AND(AC14&lt;&gt;"Sold",AC14&lt;&gt;"",Z14&lt;&gt;""),TODAY()-Z14,"")</f>
        <v/>
      </c>
      <c r="AO14" s="4" t="s">
        <v>80</v>
      </c>
      <c r="AP14" s="4" t="s">
        <v>126</v>
      </c>
    </row>
    <row r="15" customFormat="false" ht="15" hidden="false" customHeight="true" outlineLevel="0" collapsed="false">
      <c r="A15" s="4" t="s">
        <v>127</v>
      </c>
      <c r="B15" s="4" t="s">
        <v>99</v>
      </c>
      <c r="C15" s="4" t="s">
        <v>128</v>
      </c>
      <c r="D15" s="4"/>
      <c r="E15" s="4" t="s">
        <v>84</v>
      </c>
      <c r="F15" s="4" t="s">
        <v>129</v>
      </c>
      <c r="G15" s="4"/>
      <c r="H15" s="4" t="s">
        <v>96</v>
      </c>
      <c r="I15" s="4"/>
      <c r="J15" s="4"/>
      <c r="K15" s="4" t="s">
        <v>74</v>
      </c>
      <c r="L15" s="4" t="s">
        <v>75</v>
      </c>
      <c r="M15" s="4" t="s">
        <v>76</v>
      </c>
      <c r="N15" s="14" t="n">
        <v>334</v>
      </c>
      <c r="O15" s="15" t="n">
        <v>46215</v>
      </c>
      <c r="P15" s="16" t="n">
        <v>33</v>
      </c>
      <c r="Q15" s="4" t="s">
        <v>77</v>
      </c>
      <c r="R15" s="17" t="n">
        <v>1</v>
      </c>
      <c r="S15" s="18" t="n">
        <f aca="false">IF(OR(P15="",R15=""),"",P15*R15)</f>
        <v>33</v>
      </c>
      <c r="T15" s="14" t="n">
        <v>12</v>
      </c>
      <c r="U15" s="14" t="n">
        <v>0</v>
      </c>
      <c r="V15" s="14" t="n">
        <v>0</v>
      </c>
      <c r="W15" s="14" t="n">
        <v>0</v>
      </c>
      <c r="X15" s="18" t="n">
        <f aca="false">IF(S15="","",S15+N(T15)+N(U15)+N(V15)+N(W15))</f>
        <v>45</v>
      </c>
      <c r="Y15" s="4" t="s">
        <v>104</v>
      </c>
      <c r="Z15" s="15"/>
      <c r="AA15" s="14" t="n">
        <v>334</v>
      </c>
      <c r="AB15" s="19"/>
      <c r="AC15" s="4" t="s">
        <v>130</v>
      </c>
      <c r="AD15" s="15"/>
      <c r="AE15" s="14"/>
      <c r="AF15" s="14"/>
      <c r="AG15" s="14"/>
      <c r="AH15" s="18" t="str">
        <f aca="false">IF(AND(AC15="Sold",AE15&lt;&gt;"",AF15&lt;&gt;""),AE15-AF15,"")</f>
        <v/>
      </c>
      <c r="AI15" s="18" t="str">
        <f aca="false">IF(AND(AC15="Sold",AF15&lt;&gt;"",X15&lt;&gt;""),AF15-N(AG15)-X15,"")</f>
        <v/>
      </c>
      <c r="AJ15" s="20" t="str">
        <f aca="false">IF(AND(AI15&lt;&gt;"",N(AE15)&gt;0),AI15/AE15,"")</f>
        <v/>
      </c>
      <c r="AK15" s="20" t="str">
        <f aca="false">IF(AND(AI15&lt;&gt;"",N(X15)&gt;0),AI15/X15,"")</f>
        <v/>
      </c>
      <c r="AL15" s="21" t="str">
        <f aca="false">IF(AND(AC15="Sold",AD15&lt;&gt;"",Z15&lt;&gt;""),AD15-Z15,"")</f>
        <v/>
      </c>
      <c r="AM15" s="20" t="str">
        <f aca="false">IF(AND(AC15="Sold",N(AA15)&gt;0,AE15&lt;&gt;""),1-AE15/AA15,"")</f>
        <v/>
      </c>
      <c r="AN15" s="21" t="str">
        <f aca="true">IF(AND(AC15&lt;&gt;"Sold",AC15&lt;&gt;"",Z15&lt;&gt;""),TODAY()-Z15,"")</f>
        <v/>
      </c>
      <c r="AO15" s="4" t="s">
        <v>86</v>
      </c>
      <c r="AP15" s="4" t="s">
        <v>81</v>
      </c>
    </row>
    <row r="16" customFormat="false" ht="15" hidden="false" customHeight="true" outlineLevel="0" collapsed="false">
      <c r="A16" s="4" t="s">
        <v>131</v>
      </c>
      <c r="B16" s="4" t="s">
        <v>132</v>
      </c>
      <c r="C16" s="4"/>
      <c r="D16" s="4"/>
      <c r="E16" s="4" t="s">
        <v>71</v>
      </c>
      <c r="F16" s="4" t="s">
        <v>72</v>
      </c>
      <c r="G16" s="4"/>
      <c r="H16" s="4" t="s">
        <v>73</v>
      </c>
      <c r="I16" s="4"/>
      <c r="J16" s="4"/>
      <c r="K16" s="4" t="s">
        <v>74</v>
      </c>
      <c r="L16" s="4" t="s">
        <v>75</v>
      </c>
      <c r="M16" s="4" t="s">
        <v>76</v>
      </c>
      <c r="N16" s="14" t="n">
        <v>273</v>
      </c>
      <c r="O16" s="15" t="n">
        <v>46215</v>
      </c>
      <c r="P16" s="16" t="n">
        <v>9</v>
      </c>
      <c r="Q16" s="4" t="s">
        <v>77</v>
      </c>
      <c r="R16" s="17" t="n">
        <v>1</v>
      </c>
      <c r="S16" s="18" t="n">
        <f aca="false">IF(OR(P16="",R16=""),"",P16*R16)</f>
        <v>9</v>
      </c>
      <c r="T16" s="14" t="n">
        <v>10</v>
      </c>
      <c r="U16" s="14" t="n">
        <v>0</v>
      </c>
      <c r="V16" s="14" t="n">
        <v>0</v>
      </c>
      <c r="W16" s="14" t="n">
        <v>0</v>
      </c>
      <c r="X16" s="18" t="n">
        <f aca="false">IF(S16="","",S16+N(T16)+N(U16)+N(V16)+N(W16))</f>
        <v>19</v>
      </c>
      <c r="Y16" s="4" t="s">
        <v>133</v>
      </c>
      <c r="Z16" s="15"/>
      <c r="AA16" s="14" t="n">
        <v>908</v>
      </c>
      <c r="AB16" s="19"/>
      <c r="AC16" s="4" t="s">
        <v>79</v>
      </c>
      <c r="AD16" s="15"/>
      <c r="AE16" s="14" t="n">
        <v>336</v>
      </c>
      <c r="AF16" s="14" t="n">
        <v>336</v>
      </c>
      <c r="AG16" s="14"/>
      <c r="AH16" s="18" t="n">
        <f aca="false">IF(AND(AC16="Sold",AE16&lt;&gt;"",AF16&lt;&gt;""),AE16-AF16,"")</f>
        <v>0</v>
      </c>
      <c r="AI16" s="18" t="n">
        <f aca="false">IF(AND(AC16="Sold",AF16&lt;&gt;"",X16&lt;&gt;""),AF16-N(AG16)-X16,"")</f>
        <v>317</v>
      </c>
      <c r="AJ16" s="20" t="n">
        <f aca="false">IF(AND(AI16&lt;&gt;"",N(AE16)&gt;0),AI16/AE16,"")</f>
        <v>0.943452380952381</v>
      </c>
      <c r="AK16" s="20" t="n">
        <f aca="false">IF(AND(AI16&lt;&gt;"",N(X16)&gt;0),AI16/X16,"")</f>
        <v>16.6842105263158</v>
      </c>
      <c r="AL16" s="21" t="str">
        <f aca="false">IF(AND(AC16="Sold",AD16&lt;&gt;"",Z16&lt;&gt;""),AD16-Z16,"")</f>
        <v/>
      </c>
      <c r="AM16" s="20" t="n">
        <f aca="false">IF(AND(AC16="Sold",N(AA16)&gt;0,AE16&lt;&gt;""),1-AE16/AA16,"")</f>
        <v>0.629955947136564</v>
      </c>
      <c r="AN16" s="21" t="str">
        <f aca="true">IF(AND(AC16&lt;&gt;"Sold",AC16&lt;&gt;"",Z16&lt;&gt;""),TODAY()-Z16,"")</f>
        <v/>
      </c>
      <c r="AO16" s="4" t="s">
        <v>86</v>
      </c>
      <c r="AP16" s="4" t="s">
        <v>134</v>
      </c>
    </row>
    <row r="17" customFormat="false" ht="15" hidden="false" customHeight="true" outlineLevel="0" collapsed="false">
      <c r="A17" s="4" t="s">
        <v>135</v>
      </c>
      <c r="B17" s="4" t="s">
        <v>94</v>
      </c>
      <c r="C17" s="4"/>
      <c r="D17" s="4"/>
      <c r="E17" s="4" t="s">
        <v>136</v>
      </c>
      <c r="F17" s="4" t="s">
        <v>137</v>
      </c>
      <c r="G17" s="4"/>
      <c r="H17" s="4" t="s">
        <v>73</v>
      </c>
      <c r="I17" s="4"/>
      <c r="J17" s="4" t="s">
        <v>121</v>
      </c>
      <c r="K17" s="4" t="s">
        <v>74</v>
      </c>
      <c r="L17" s="4" t="s">
        <v>75</v>
      </c>
      <c r="M17" s="4" t="s">
        <v>76</v>
      </c>
      <c r="N17" s="14" t="n">
        <v>344</v>
      </c>
      <c r="O17" s="15" t="n">
        <v>46235</v>
      </c>
      <c r="P17" s="16" t="n">
        <v>46</v>
      </c>
      <c r="Q17" s="4" t="s">
        <v>77</v>
      </c>
      <c r="R17" s="17" t="n">
        <v>1</v>
      </c>
      <c r="S17" s="18" t="n">
        <f aca="false">IF(OR(P17="",R17=""),"",P17*R17)</f>
        <v>46</v>
      </c>
      <c r="T17" s="14" t="n">
        <v>13</v>
      </c>
      <c r="U17" s="14" t="n">
        <v>0</v>
      </c>
      <c r="V17" s="14" t="n">
        <v>0</v>
      </c>
      <c r="W17" s="14" t="n">
        <v>0</v>
      </c>
      <c r="X17" s="18" t="n">
        <f aca="false">IF(S17="","",S17+N(T17)+N(U17)+N(V17)+N(W17))</f>
        <v>59</v>
      </c>
      <c r="Y17" s="4" t="s">
        <v>125</v>
      </c>
      <c r="Z17" s="15"/>
      <c r="AA17" s="14" t="n">
        <v>689</v>
      </c>
      <c r="AB17" s="19"/>
      <c r="AC17" s="4" t="s">
        <v>79</v>
      </c>
      <c r="AD17" s="15"/>
      <c r="AE17" s="14" t="n">
        <v>422</v>
      </c>
      <c r="AF17" s="14" t="n">
        <v>341</v>
      </c>
      <c r="AG17" s="14" t="n">
        <v>0</v>
      </c>
      <c r="AH17" s="18" t="n">
        <f aca="false">IF(AND(AC17="Sold",AE17&lt;&gt;"",AF17&lt;&gt;""),AE17-AF17,"")</f>
        <v>81</v>
      </c>
      <c r="AI17" s="18" t="n">
        <f aca="false">IF(AND(AC17="Sold",AF17&lt;&gt;"",X17&lt;&gt;""),AF17-N(AG17)-X17,"")</f>
        <v>282</v>
      </c>
      <c r="AJ17" s="20" t="n">
        <f aca="false">IF(AND(AI17&lt;&gt;"",N(AE17)&gt;0),AI17/AE17,"")</f>
        <v>0.66824644549763</v>
      </c>
      <c r="AK17" s="20" t="n">
        <f aca="false">IF(AND(AI17&lt;&gt;"",N(X17)&gt;0),AI17/X17,"")</f>
        <v>4.77966101694915</v>
      </c>
      <c r="AL17" s="21" t="str">
        <f aca="false">IF(AND(AC17="Sold",AD17&lt;&gt;"",Z17&lt;&gt;""),AD17-Z17,"")</f>
        <v/>
      </c>
      <c r="AM17" s="20" t="n">
        <f aca="false">IF(AND(AC17="Sold",N(AA17)&gt;0,AE17&lt;&gt;""),1-AE17/AA17,"")</f>
        <v>0.387518142235123</v>
      </c>
      <c r="AN17" s="21" t="str">
        <f aca="true">IF(AND(AC17&lt;&gt;"Sold",AC17&lt;&gt;"",Z17&lt;&gt;""),TODAY()-Z17,"")</f>
        <v/>
      </c>
      <c r="AO17" s="4" t="s">
        <v>86</v>
      </c>
      <c r="AP17" s="4" t="s">
        <v>138</v>
      </c>
    </row>
    <row r="18" customFormat="false" ht="15" hidden="false" customHeight="true" outlineLevel="0" collapsed="false">
      <c r="A18" s="4" t="s">
        <v>139</v>
      </c>
      <c r="B18" s="4" t="s">
        <v>140</v>
      </c>
      <c r="C18" s="4" t="s">
        <v>141</v>
      </c>
      <c r="D18" s="4"/>
      <c r="E18" s="4" t="s">
        <v>142</v>
      </c>
      <c r="F18" s="4" t="s">
        <v>72</v>
      </c>
      <c r="G18" s="4"/>
      <c r="H18" s="4" t="s">
        <v>73</v>
      </c>
      <c r="I18" s="4"/>
      <c r="J18" s="4"/>
      <c r="K18" s="4" t="s">
        <v>143</v>
      </c>
      <c r="L18" s="4" t="s">
        <v>75</v>
      </c>
      <c r="M18" s="4" t="s">
        <v>144</v>
      </c>
      <c r="N18" s="14" t="n">
        <v>1863</v>
      </c>
      <c r="O18" s="15" t="n">
        <v>46235</v>
      </c>
      <c r="P18" s="16" t="n">
        <v>68</v>
      </c>
      <c r="Q18" s="4" t="s">
        <v>77</v>
      </c>
      <c r="R18" s="17" t="n">
        <v>1</v>
      </c>
      <c r="S18" s="18" t="n">
        <f aca="false">IF(OR(P18="",R18=""),"",P18*R18)</f>
        <v>68</v>
      </c>
      <c r="T18" s="14" t="n">
        <v>7</v>
      </c>
      <c r="U18" s="14" t="n">
        <v>4</v>
      </c>
      <c r="V18" s="14" t="n">
        <v>0</v>
      </c>
      <c r="W18" s="14" t="n">
        <v>0</v>
      </c>
      <c r="X18" s="18" t="n">
        <f aca="false">IF(S18="","",S18+N(T18)+N(U18)+N(V18)+N(W18))</f>
        <v>79</v>
      </c>
      <c r="Y18" s="4" t="s">
        <v>125</v>
      </c>
      <c r="Z18" s="15"/>
      <c r="AA18" s="14" t="n">
        <v>147</v>
      </c>
      <c r="AB18" s="19"/>
      <c r="AC18" s="4" t="s">
        <v>79</v>
      </c>
      <c r="AD18" s="15"/>
      <c r="AE18" s="14" t="n">
        <v>118</v>
      </c>
      <c r="AF18" s="14" t="n">
        <v>100</v>
      </c>
      <c r="AG18" s="14" t="n">
        <v>0</v>
      </c>
      <c r="AH18" s="18" t="n">
        <f aca="false">IF(AND(AC18="Sold",AE18&lt;&gt;"",AF18&lt;&gt;""),AE18-AF18,"")</f>
        <v>18</v>
      </c>
      <c r="AI18" s="18" t="n">
        <f aca="false">IF(AND(AC18="Sold",AF18&lt;&gt;"",X18&lt;&gt;""),AF18-N(AG18)-X18,"")</f>
        <v>21</v>
      </c>
      <c r="AJ18" s="20" t="n">
        <f aca="false">IF(AND(AI18&lt;&gt;"",N(AE18)&gt;0),AI18/AE18,"")</f>
        <v>0.177966101694915</v>
      </c>
      <c r="AK18" s="20" t="n">
        <f aca="false">IF(AND(AI18&lt;&gt;"",N(X18)&gt;0),AI18/X18,"")</f>
        <v>0.265822784810127</v>
      </c>
      <c r="AL18" s="21" t="str">
        <f aca="false">IF(AND(AC18="Sold",AD18&lt;&gt;"",Z18&lt;&gt;""),AD18-Z18,"")</f>
        <v/>
      </c>
      <c r="AM18" s="20" t="n">
        <f aca="false">IF(AND(AC18="Sold",N(AA18)&gt;0,AE18&lt;&gt;""),1-AE18/AA18,"")</f>
        <v>0.197278911564626</v>
      </c>
      <c r="AN18" s="21" t="str">
        <f aca="true">IF(AND(AC18&lt;&gt;"Sold",AC18&lt;&gt;"",Z18&lt;&gt;""),TODAY()-Z18,"")</f>
        <v/>
      </c>
      <c r="AO18" s="4" t="s">
        <v>86</v>
      </c>
      <c r="AP18" s="4" t="s">
        <v>145</v>
      </c>
    </row>
    <row r="19" customFormat="false" ht="15" hidden="false" customHeight="true" outlineLevel="0" collapsed="false">
      <c r="A19" s="4" t="s">
        <v>146</v>
      </c>
      <c r="B19" s="4" t="s">
        <v>140</v>
      </c>
      <c r="C19" s="4" t="s">
        <v>147</v>
      </c>
      <c r="D19" s="4"/>
      <c r="E19" s="4" t="s">
        <v>148</v>
      </c>
      <c r="F19" s="4" t="s">
        <v>72</v>
      </c>
      <c r="G19" s="4"/>
      <c r="H19" s="4" t="s">
        <v>73</v>
      </c>
      <c r="I19" s="4"/>
      <c r="J19" s="4"/>
      <c r="K19" s="4" t="s">
        <v>143</v>
      </c>
      <c r="L19" s="4" t="s">
        <v>75</v>
      </c>
      <c r="M19" s="4" t="s">
        <v>144</v>
      </c>
      <c r="N19" s="14" t="n">
        <v>2029</v>
      </c>
      <c r="O19" s="15" t="n">
        <v>46235</v>
      </c>
      <c r="P19" s="16" t="n">
        <v>52</v>
      </c>
      <c r="Q19" s="4" t="s">
        <v>77</v>
      </c>
      <c r="R19" s="17" t="n">
        <v>1</v>
      </c>
      <c r="S19" s="18" t="n">
        <f aca="false">IF(OR(P19="",R19=""),"",P19*R19)</f>
        <v>52</v>
      </c>
      <c r="T19" s="14" t="n">
        <v>8</v>
      </c>
      <c r="U19" s="14" t="n">
        <v>4</v>
      </c>
      <c r="V19" s="14" t="n">
        <v>0</v>
      </c>
      <c r="W19" s="14" t="n">
        <v>0</v>
      </c>
      <c r="X19" s="18" t="n">
        <f aca="false">IF(S19="","",S19+N(T19)+N(U19)+N(V19)+N(W19))</f>
        <v>64</v>
      </c>
      <c r="Y19" s="4" t="s">
        <v>125</v>
      </c>
      <c r="Z19" s="15"/>
      <c r="AA19" s="14" t="n">
        <v>112</v>
      </c>
      <c r="AB19" s="19"/>
      <c r="AC19" s="4" t="s">
        <v>79</v>
      </c>
      <c r="AD19" s="15"/>
      <c r="AE19" s="14" t="n">
        <v>90</v>
      </c>
      <c r="AF19" s="14" t="n">
        <v>76</v>
      </c>
      <c r="AG19" s="14" t="n">
        <v>0</v>
      </c>
      <c r="AH19" s="18" t="n">
        <f aca="false">IF(AND(AC19="Sold",AE19&lt;&gt;"",AF19&lt;&gt;""),AE19-AF19,"")</f>
        <v>14</v>
      </c>
      <c r="AI19" s="18" t="n">
        <f aca="false">IF(AND(AC19="Sold",AF19&lt;&gt;"",X19&lt;&gt;""),AF19-N(AG19)-X19,"")</f>
        <v>12</v>
      </c>
      <c r="AJ19" s="20" t="n">
        <f aca="false">IF(AND(AI19&lt;&gt;"",N(AE19)&gt;0),AI19/AE19,"")</f>
        <v>0.133333333333333</v>
      </c>
      <c r="AK19" s="20" t="n">
        <f aca="false">IF(AND(AI19&lt;&gt;"",N(X19)&gt;0),AI19/X19,"")</f>
        <v>0.1875</v>
      </c>
      <c r="AL19" s="21" t="str">
        <f aca="false">IF(AND(AC19="Sold",AD19&lt;&gt;"",Z19&lt;&gt;""),AD19-Z19,"")</f>
        <v/>
      </c>
      <c r="AM19" s="20" t="n">
        <f aca="false">IF(AND(AC19="Sold",N(AA19)&gt;0,AE19&lt;&gt;""),1-AE19/AA19,"")</f>
        <v>0.196428571428571</v>
      </c>
      <c r="AN19" s="21" t="str">
        <f aca="true">IF(AND(AC19&lt;&gt;"Sold",AC19&lt;&gt;"",Z19&lt;&gt;""),TODAY()-Z19,"")</f>
        <v/>
      </c>
      <c r="AO19" s="4" t="s">
        <v>86</v>
      </c>
      <c r="AP19" s="4" t="s">
        <v>145</v>
      </c>
    </row>
    <row r="20" customFormat="false" ht="15" hidden="false" customHeight="true" outlineLevel="0" collapsed="false">
      <c r="A20" s="4" t="s">
        <v>149</v>
      </c>
      <c r="B20" s="4" t="s">
        <v>89</v>
      </c>
      <c r="C20" s="4" t="s">
        <v>150</v>
      </c>
      <c r="D20" s="4"/>
      <c r="E20" s="4" t="s">
        <v>71</v>
      </c>
      <c r="F20" s="4" t="s">
        <v>72</v>
      </c>
      <c r="G20" s="4"/>
      <c r="H20" s="4" t="s">
        <v>73</v>
      </c>
      <c r="I20" s="4"/>
      <c r="J20" s="4"/>
      <c r="K20" s="4" t="s">
        <v>143</v>
      </c>
      <c r="L20" s="4" t="s">
        <v>75</v>
      </c>
      <c r="M20" s="4" t="s">
        <v>144</v>
      </c>
      <c r="N20" s="14" t="n">
        <v>1746</v>
      </c>
      <c r="O20" s="15" t="n">
        <v>46235</v>
      </c>
      <c r="P20" s="16" t="n">
        <v>233</v>
      </c>
      <c r="Q20" s="4" t="s">
        <v>77</v>
      </c>
      <c r="R20" s="17" t="n">
        <v>1</v>
      </c>
      <c r="S20" s="18" t="n">
        <f aca="false">IF(OR(P20="",R20=""),"",P20*R20)</f>
        <v>233</v>
      </c>
      <c r="T20" s="14" t="n">
        <v>7</v>
      </c>
      <c r="U20" s="14" t="n">
        <v>3</v>
      </c>
      <c r="V20" s="14" t="n">
        <v>0</v>
      </c>
      <c r="W20" s="14" t="n">
        <v>0</v>
      </c>
      <c r="X20" s="18" t="n">
        <f aca="false">IF(S20="","",S20+N(T20)+N(U20)+N(V20)+N(W20))</f>
        <v>243</v>
      </c>
      <c r="Y20" s="4" t="s">
        <v>125</v>
      </c>
      <c r="Z20" s="15"/>
      <c r="AA20" s="14" t="n">
        <v>504</v>
      </c>
      <c r="AB20" s="19"/>
      <c r="AC20" s="4" t="s">
        <v>79</v>
      </c>
      <c r="AD20" s="15"/>
      <c r="AE20" s="14" t="n">
        <v>404</v>
      </c>
      <c r="AF20" s="14" t="n">
        <v>343</v>
      </c>
      <c r="AG20" s="14" t="n">
        <v>0</v>
      </c>
      <c r="AH20" s="18" t="n">
        <f aca="false">IF(AND(AC20="Sold",AE20&lt;&gt;"",AF20&lt;&gt;""),AE20-AF20,"")</f>
        <v>61</v>
      </c>
      <c r="AI20" s="18" t="n">
        <f aca="false">IF(AND(AC20="Sold",AF20&lt;&gt;"",X20&lt;&gt;""),AF20-N(AG20)-X20,"")</f>
        <v>100</v>
      </c>
      <c r="AJ20" s="20" t="n">
        <f aca="false">IF(AND(AI20&lt;&gt;"",N(AE20)&gt;0),AI20/AE20,"")</f>
        <v>0.247524752475248</v>
      </c>
      <c r="AK20" s="20" t="n">
        <f aca="false">IF(AND(AI20&lt;&gt;"",N(X20)&gt;0),AI20/X20,"")</f>
        <v>0.411522633744856</v>
      </c>
      <c r="AL20" s="21" t="str">
        <f aca="false">IF(AND(AC20="Sold",AD20&lt;&gt;"",Z20&lt;&gt;""),AD20-Z20,"")</f>
        <v/>
      </c>
      <c r="AM20" s="20" t="n">
        <f aca="false">IF(AND(AC20="Sold",N(AA20)&gt;0,AE20&lt;&gt;""),1-AE20/AA20,"")</f>
        <v>0.198412698412698</v>
      </c>
      <c r="AN20" s="21" t="str">
        <f aca="true">IF(AND(AC20&lt;&gt;"Sold",AC20&lt;&gt;"",Z20&lt;&gt;""),TODAY()-Z20,"")</f>
        <v/>
      </c>
      <c r="AO20" s="4" t="s">
        <v>86</v>
      </c>
      <c r="AP20" s="4" t="s">
        <v>145</v>
      </c>
    </row>
    <row r="21" customFormat="false" ht="15" hidden="false" customHeight="true" outlineLevel="0" collapsed="false">
      <c r="A21" s="4" t="s">
        <v>151</v>
      </c>
      <c r="B21" s="4" t="s">
        <v>89</v>
      </c>
      <c r="C21" s="4" t="s">
        <v>152</v>
      </c>
      <c r="D21" s="4"/>
      <c r="E21" s="4" t="s">
        <v>84</v>
      </c>
      <c r="F21" s="4" t="s">
        <v>72</v>
      </c>
      <c r="G21" s="4"/>
      <c r="H21" s="4" t="s">
        <v>96</v>
      </c>
      <c r="I21" s="4"/>
      <c r="J21" s="4"/>
      <c r="K21" s="4" t="s">
        <v>143</v>
      </c>
      <c r="L21" s="4" t="s">
        <v>75</v>
      </c>
      <c r="M21" s="4" t="s">
        <v>144</v>
      </c>
      <c r="N21" s="14" t="n">
        <v>2274</v>
      </c>
      <c r="O21" s="15" t="n">
        <v>46235</v>
      </c>
      <c r="P21" s="16" t="n">
        <v>386</v>
      </c>
      <c r="Q21" s="4" t="s">
        <v>77</v>
      </c>
      <c r="R21" s="17" t="n">
        <v>1</v>
      </c>
      <c r="S21" s="18" t="n">
        <f aca="false">IF(OR(P21="",R21=""),"",P21*R21)</f>
        <v>386</v>
      </c>
      <c r="T21" s="14" t="n">
        <v>9</v>
      </c>
      <c r="U21" s="14" t="n">
        <v>4</v>
      </c>
      <c r="V21" s="14" t="n">
        <v>0</v>
      </c>
      <c r="W21" s="14" t="n">
        <v>0</v>
      </c>
      <c r="X21" s="18" t="n">
        <f aca="false">IF(S21="","",S21+N(T21)+N(U21)+N(V21)+N(W21))</f>
        <v>399</v>
      </c>
      <c r="Y21" s="4" t="s">
        <v>125</v>
      </c>
      <c r="Z21" s="15"/>
      <c r="AA21" s="14" t="n">
        <v>837</v>
      </c>
      <c r="AB21" s="19"/>
      <c r="AC21" s="4" t="s">
        <v>79</v>
      </c>
      <c r="AD21" s="15"/>
      <c r="AE21" s="14" t="n">
        <v>669</v>
      </c>
      <c r="AF21" s="14" t="n">
        <v>569</v>
      </c>
      <c r="AG21" s="14" t="n">
        <v>0</v>
      </c>
      <c r="AH21" s="18" t="n">
        <f aca="false">IF(AND(AC21="Sold",AE21&lt;&gt;"",AF21&lt;&gt;""),AE21-AF21,"")</f>
        <v>100</v>
      </c>
      <c r="AI21" s="18" t="n">
        <f aca="false">IF(AND(AC21="Sold",AF21&lt;&gt;"",X21&lt;&gt;""),AF21-N(AG21)-X21,"")</f>
        <v>170</v>
      </c>
      <c r="AJ21" s="20" t="n">
        <f aca="false">IF(AND(AI21&lt;&gt;"",N(AE21)&gt;0),AI21/AE21,"")</f>
        <v>0.254110612855007</v>
      </c>
      <c r="AK21" s="20" t="n">
        <f aca="false">IF(AND(AI21&lt;&gt;"",N(X21)&gt;0),AI21/X21,"")</f>
        <v>0.426065162907268</v>
      </c>
      <c r="AL21" s="21" t="str">
        <f aca="false">IF(AND(AC21="Sold",AD21&lt;&gt;"",Z21&lt;&gt;""),AD21-Z21,"")</f>
        <v/>
      </c>
      <c r="AM21" s="20" t="n">
        <f aca="false">IF(AND(AC21="Sold",N(AA21)&gt;0,AE21&lt;&gt;""),1-AE21/AA21,"")</f>
        <v>0.200716845878136</v>
      </c>
      <c r="AN21" s="21" t="str">
        <f aca="true">IF(AND(AC21&lt;&gt;"Sold",AC21&lt;&gt;"",Z21&lt;&gt;""),TODAY()-Z21,"")</f>
        <v/>
      </c>
      <c r="AO21" s="4" t="s">
        <v>86</v>
      </c>
      <c r="AP21" s="4" t="s">
        <v>145</v>
      </c>
    </row>
    <row r="22" customFormat="false" ht="15" hidden="false" customHeight="true" outlineLevel="0" collapsed="false">
      <c r="A22" s="4" t="s">
        <v>153</v>
      </c>
      <c r="B22" s="4" t="s">
        <v>140</v>
      </c>
      <c r="C22" s="4" t="s">
        <v>154</v>
      </c>
      <c r="D22" s="4"/>
      <c r="E22" s="4" t="s">
        <v>155</v>
      </c>
      <c r="F22" s="4" t="s">
        <v>156</v>
      </c>
      <c r="G22" s="4"/>
      <c r="H22" s="4" t="s">
        <v>73</v>
      </c>
      <c r="I22" s="4"/>
      <c r="J22" s="4"/>
      <c r="K22" s="4" t="s">
        <v>143</v>
      </c>
      <c r="L22" s="4" t="s">
        <v>75</v>
      </c>
      <c r="M22" s="4" t="s">
        <v>144</v>
      </c>
      <c r="N22" s="14" t="n">
        <v>2328</v>
      </c>
      <c r="O22" s="15" t="n">
        <v>46235</v>
      </c>
      <c r="P22" s="16" t="n">
        <v>175</v>
      </c>
      <c r="Q22" s="4" t="s">
        <v>77</v>
      </c>
      <c r="R22" s="17" t="n">
        <v>1</v>
      </c>
      <c r="S22" s="18" t="n">
        <f aca="false">IF(OR(P22="",R22=""),"",P22*R22)</f>
        <v>175</v>
      </c>
      <c r="T22" s="14" t="n">
        <v>9</v>
      </c>
      <c r="U22" s="14" t="n">
        <v>5</v>
      </c>
      <c r="V22" s="14" t="n">
        <v>0</v>
      </c>
      <c r="W22" s="14" t="n">
        <v>0</v>
      </c>
      <c r="X22" s="18" t="n">
        <f aca="false">IF(S22="","",S22+N(T22)+N(U22)+N(V22)+N(W22))</f>
        <v>189</v>
      </c>
      <c r="Y22" s="4" t="s">
        <v>125</v>
      </c>
      <c r="Z22" s="15"/>
      <c r="AA22" s="14" t="n">
        <v>380</v>
      </c>
      <c r="AB22" s="19"/>
      <c r="AC22" s="4" t="s">
        <v>79</v>
      </c>
      <c r="AD22" s="15"/>
      <c r="AE22" s="14" t="n">
        <v>304</v>
      </c>
      <c r="AF22" s="14" t="n">
        <v>258</v>
      </c>
      <c r="AG22" s="14" t="n">
        <v>0</v>
      </c>
      <c r="AH22" s="18" t="n">
        <f aca="false">IF(AND(AC22="Sold",AE22&lt;&gt;"",AF22&lt;&gt;""),AE22-AF22,"")</f>
        <v>46</v>
      </c>
      <c r="AI22" s="18" t="n">
        <f aca="false">IF(AND(AC22="Sold",AF22&lt;&gt;"",X22&lt;&gt;""),AF22-N(AG22)-X22,"")</f>
        <v>69</v>
      </c>
      <c r="AJ22" s="20" t="n">
        <f aca="false">IF(AND(AI22&lt;&gt;"",N(AE22)&gt;0),AI22/AE22,"")</f>
        <v>0.226973684210526</v>
      </c>
      <c r="AK22" s="20" t="n">
        <f aca="false">IF(AND(AI22&lt;&gt;"",N(X22)&gt;0),AI22/X22,"")</f>
        <v>0.365079365079365</v>
      </c>
      <c r="AL22" s="21" t="str">
        <f aca="false">IF(AND(AC22="Sold",AD22&lt;&gt;"",Z22&lt;&gt;""),AD22-Z22,"")</f>
        <v/>
      </c>
      <c r="AM22" s="20" t="n">
        <f aca="false">IF(AND(AC22="Sold",N(AA22)&gt;0,AE22&lt;&gt;""),1-AE22/AA22,"")</f>
        <v>0.2</v>
      </c>
      <c r="AN22" s="21" t="str">
        <f aca="true">IF(AND(AC22&lt;&gt;"Sold",AC22&lt;&gt;"",Z22&lt;&gt;""),TODAY()-Z22,"")</f>
        <v/>
      </c>
      <c r="AO22" s="4" t="s">
        <v>86</v>
      </c>
      <c r="AP22" s="4" t="s">
        <v>145</v>
      </c>
    </row>
    <row r="23" customFormat="false" ht="15" hidden="false" customHeight="true" outlineLevel="0" collapsed="false">
      <c r="A23" s="4" t="s">
        <v>157</v>
      </c>
      <c r="B23" s="4" t="s">
        <v>94</v>
      </c>
      <c r="C23" s="4" t="s">
        <v>158</v>
      </c>
      <c r="D23" s="4"/>
      <c r="E23" s="4" t="s">
        <v>120</v>
      </c>
      <c r="F23" s="4" t="s">
        <v>72</v>
      </c>
      <c r="G23" s="4"/>
      <c r="H23" s="4" t="s">
        <v>73</v>
      </c>
      <c r="I23" s="4"/>
      <c r="J23" s="4"/>
      <c r="K23" s="4" t="s">
        <v>143</v>
      </c>
      <c r="L23" s="4" t="s">
        <v>75</v>
      </c>
      <c r="M23" s="4" t="s">
        <v>144</v>
      </c>
      <c r="N23" s="14" t="n">
        <v>2068</v>
      </c>
      <c r="O23" s="15" t="n">
        <v>46235</v>
      </c>
      <c r="P23" s="16" t="n">
        <v>205</v>
      </c>
      <c r="Q23" s="4" t="s">
        <v>77</v>
      </c>
      <c r="R23" s="17" t="n">
        <v>1</v>
      </c>
      <c r="S23" s="18" t="n">
        <f aca="false">IF(OR(P23="",R23=""),"",P23*R23)</f>
        <v>205</v>
      </c>
      <c r="T23" s="14" t="n">
        <v>8</v>
      </c>
      <c r="U23" s="14" t="n">
        <v>4</v>
      </c>
      <c r="V23" s="14" t="n">
        <v>0</v>
      </c>
      <c r="W23" s="14" t="n">
        <v>0</v>
      </c>
      <c r="X23" s="18" t="n">
        <f aca="false">IF(S23="","",S23+N(T23)+N(U23)+N(V23)+N(W23))</f>
        <v>217</v>
      </c>
      <c r="Y23" s="4" t="s">
        <v>125</v>
      </c>
      <c r="Z23" s="15"/>
      <c r="AA23" s="14" t="n">
        <v>445</v>
      </c>
      <c r="AB23" s="19"/>
      <c r="AC23" s="4" t="s">
        <v>79</v>
      </c>
      <c r="AD23" s="15"/>
      <c r="AE23" s="14" t="n">
        <v>356</v>
      </c>
      <c r="AF23" s="14" t="n">
        <v>302</v>
      </c>
      <c r="AG23" s="14" t="n">
        <v>0</v>
      </c>
      <c r="AH23" s="18" t="n">
        <f aca="false">IF(AND(AC23="Sold",AE23&lt;&gt;"",AF23&lt;&gt;""),AE23-AF23,"")</f>
        <v>54</v>
      </c>
      <c r="AI23" s="18" t="n">
        <f aca="false">IF(AND(AC23="Sold",AF23&lt;&gt;"",X23&lt;&gt;""),AF23-N(AG23)-X23,"")</f>
        <v>85</v>
      </c>
      <c r="AJ23" s="20" t="n">
        <f aca="false">IF(AND(AI23&lt;&gt;"",N(AE23)&gt;0),AI23/AE23,"")</f>
        <v>0.23876404494382</v>
      </c>
      <c r="AK23" s="20" t="n">
        <f aca="false">IF(AND(AI23&lt;&gt;"",N(X23)&gt;0),AI23/X23,"")</f>
        <v>0.391705069124424</v>
      </c>
      <c r="AL23" s="21" t="str">
        <f aca="false">IF(AND(AC23="Sold",AD23&lt;&gt;"",Z23&lt;&gt;""),AD23-Z23,"")</f>
        <v/>
      </c>
      <c r="AM23" s="20" t="n">
        <f aca="false">IF(AND(AC23="Sold",N(AA23)&gt;0,AE23&lt;&gt;""),1-AE23/AA23,"")</f>
        <v>0.2</v>
      </c>
      <c r="AN23" s="21" t="str">
        <f aca="true">IF(AND(AC23&lt;&gt;"Sold",AC23&lt;&gt;"",Z23&lt;&gt;""),TODAY()-Z23,"")</f>
        <v/>
      </c>
      <c r="AO23" s="4" t="s">
        <v>86</v>
      </c>
      <c r="AP23" s="4" t="s">
        <v>159</v>
      </c>
    </row>
    <row r="24" customFormat="false" ht="15" hidden="false" customHeight="true" outlineLevel="0" collapsed="false">
      <c r="A24" s="4" t="s">
        <v>160</v>
      </c>
      <c r="B24" s="4" t="s">
        <v>132</v>
      </c>
      <c r="C24" s="4" t="s">
        <v>161</v>
      </c>
      <c r="D24" s="4"/>
      <c r="E24" s="4" t="s">
        <v>162</v>
      </c>
      <c r="F24" s="4" t="s">
        <v>163</v>
      </c>
      <c r="G24" s="4"/>
      <c r="H24" s="4" t="s">
        <v>96</v>
      </c>
      <c r="I24" s="4"/>
      <c r="J24" s="4"/>
      <c r="K24" s="4" t="s">
        <v>143</v>
      </c>
      <c r="L24" s="4" t="s">
        <v>75</v>
      </c>
      <c r="M24" s="4" t="s">
        <v>144</v>
      </c>
      <c r="N24" s="14" t="n">
        <v>2224</v>
      </c>
      <c r="O24" s="15" t="n">
        <v>46235</v>
      </c>
      <c r="P24" s="16" t="n">
        <v>63</v>
      </c>
      <c r="Q24" s="4" t="s">
        <v>77</v>
      </c>
      <c r="R24" s="17" t="n">
        <v>1</v>
      </c>
      <c r="S24" s="18" t="n">
        <f aca="false">IF(OR(P24="",R24=""),"",P24*R24)</f>
        <v>63</v>
      </c>
      <c r="T24" s="14" t="n">
        <v>9</v>
      </c>
      <c r="U24" s="14" t="n">
        <v>4</v>
      </c>
      <c r="V24" s="14" t="n">
        <v>0</v>
      </c>
      <c r="W24" s="14" t="n">
        <v>0</v>
      </c>
      <c r="X24" s="18" t="n">
        <f aca="false">IF(S24="","",S24+N(T24)+N(U24)+N(V24)+N(W24))</f>
        <v>76</v>
      </c>
      <c r="Y24" s="4" t="s">
        <v>125</v>
      </c>
      <c r="Z24" s="15"/>
      <c r="AA24" s="14" t="n">
        <v>136</v>
      </c>
      <c r="AB24" s="19"/>
      <c r="AC24" s="4" t="s">
        <v>79</v>
      </c>
      <c r="AD24" s="15"/>
      <c r="AE24" s="14" t="n">
        <v>109</v>
      </c>
      <c r="AF24" s="14" t="n">
        <v>93</v>
      </c>
      <c r="AG24" s="14" t="n">
        <v>0</v>
      </c>
      <c r="AH24" s="18" t="n">
        <f aca="false">IF(AND(AC24="Sold",AE24&lt;&gt;"",AF24&lt;&gt;""),AE24-AF24,"")</f>
        <v>16</v>
      </c>
      <c r="AI24" s="18" t="n">
        <f aca="false">IF(AND(AC24="Sold",AF24&lt;&gt;"",X24&lt;&gt;""),AF24-N(AG24)-X24,"")</f>
        <v>17</v>
      </c>
      <c r="AJ24" s="20" t="n">
        <f aca="false">IF(AND(AI24&lt;&gt;"",N(AE24)&gt;0),AI24/AE24,"")</f>
        <v>0.155963302752294</v>
      </c>
      <c r="AK24" s="20" t="n">
        <f aca="false">IF(AND(AI24&lt;&gt;"",N(X24)&gt;0),AI24/X24,"")</f>
        <v>0.223684210526316</v>
      </c>
      <c r="AL24" s="21" t="str">
        <f aca="false">IF(AND(AC24="Sold",AD24&lt;&gt;"",Z24&lt;&gt;""),AD24-Z24,"")</f>
        <v/>
      </c>
      <c r="AM24" s="20" t="n">
        <f aca="false">IF(AND(AC24="Sold",N(AA24)&gt;0,AE24&lt;&gt;""),1-AE24/AA24,"")</f>
        <v>0.198529411764706</v>
      </c>
      <c r="AN24" s="21" t="str">
        <f aca="true">IF(AND(AC24&lt;&gt;"Sold",AC24&lt;&gt;"",Z24&lt;&gt;""),TODAY()-Z24,"")</f>
        <v/>
      </c>
      <c r="AO24" s="4" t="s">
        <v>86</v>
      </c>
      <c r="AP24" s="4" t="s">
        <v>145</v>
      </c>
    </row>
    <row r="25" customFormat="false" ht="15" hidden="false" customHeight="true" outlineLevel="0" collapsed="false">
      <c r="A25" s="4" t="s">
        <v>164</v>
      </c>
      <c r="B25" s="4" t="s">
        <v>94</v>
      </c>
      <c r="C25" s="4" t="s">
        <v>165</v>
      </c>
      <c r="D25" s="4"/>
      <c r="E25" s="4" t="s">
        <v>166</v>
      </c>
      <c r="F25" s="4" t="s">
        <v>167</v>
      </c>
      <c r="G25" s="4"/>
      <c r="H25" s="4" t="s">
        <v>73</v>
      </c>
      <c r="I25" s="4"/>
      <c r="J25" s="4"/>
      <c r="K25" s="4" t="s">
        <v>143</v>
      </c>
      <c r="L25" s="4" t="s">
        <v>75</v>
      </c>
      <c r="M25" s="4" t="s">
        <v>144</v>
      </c>
      <c r="N25" s="14" t="n">
        <v>1938</v>
      </c>
      <c r="O25" s="15" t="n">
        <v>46235</v>
      </c>
      <c r="P25" s="16" t="n">
        <v>157</v>
      </c>
      <c r="Q25" s="4" t="s">
        <v>77</v>
      </c>
      <c r="R25" s="17" t="n">
        <v>1</v>
      </c>
      <c r="S25" s="18" t="n">
        <f aca="false">IF(OR(P25="",R25=""),"",P25*R25)</f>
        <v>157</v>
      </c>
      <c r="T25" s="14" t="n">
        <v>8</v>
      </c>
      <c r="U25" s="14" t="n">
        <v>4</v>
      </c>
      <c r="V25" s="14" t="n">
        <v>0</v>
      </c>
      <c r="W25" s="14" t="n">
        <v>0</v>
      </c>
      <c r="X25" s="18" t="n">
        <f aca="false">IF(S25="","",S25+N(T25)+N(U25)+N(V25)+N(W25))</f>
        <v>169</v>
      </c>
      <c r="Y25" s="4" t="s">
        <v>125</v>
      </c>
      <c r="Z25" s="15"/>
      <c r="AA25" s="14" t="n">
        <v>342</v>
      </c>
      <c r="AB25" s="19"/>
      <c r="AC25" s="4" t="s">
        <v>79</v>
      </c>
      <c r="AD25" s="15"/>
      <c r="AE25" s="14" t="n">
        <v>273</v>
      </c>
      <c r="AF25" s="14" t="n">
        <v>232</v>
      </c>
      <c r="AG25" s="14" t="n">
        <v>0</v>
      </c>
      <c r="AH25" s="18" t="n">
        <f aca="false">IF(AND(AC25="Sold",AE25&lt;&gt;"",AF25&lt;&gt;""),AE25-AF25,"")</f>
        <v>41</v>
      </c>
      <c r="AI25" s="18" t="n">
        <f aca="false">IF(AND(AC25="Sold",AF25&lt;&gt;"",X25&lt;&gt;""),AF25-N(AG25)-X25,"")</f>
        <v>63</v>
      </c>
      <c r="AJ25" s="20" t="n">
        <f aca="false">IF(AND(AI25&lt;&gt;"",N(AE25)&gt;0),AI25/AE25,"")</f>
        <v>0.230769230769231</v>
      </c>
      <c r="AK25" s="20" t="n">
        <f aca="false">IF(AND(AI25&lt;&gt;"",N(X25)&gt;0),AI25/X25,"")</f>
        <v>0.372781065088757</v>
      </c>
      <c r="AL25" s="21" t="str">
        <f aca="false">IF(AND(AC25="Sold",AD25&lt;&gt;"",Z25&lt;&gt;""),AD25-Z25,"")</f>
        <v/>
      </c>
      <c r="AM25" s="20" t="n">
        <f aca="false">IF(AND(AC25="Sold",N(AA25)&gt;0,AE25&lt;&gt;""),1-AE25/AA25,"")</f>
        <v>0.201754385964912</v>
      </c>
      <c r="AN25" s="21" t="str">
        <f aca="true">IF(AND(AC25&lt;&gt;"Sold",AC25&lt;&gt;"",Z25&lt;&gt;""),TODAY()-Z25,"")</f>
        <v/>
      </c>
      <c r="AO25" s="4" t="s">
        <v>86</v>
      </c>
      <c r="AP25" s="4" t="s">
        <v>145</v>
      </c>
    </row>
    <row r="26" customFormat="false" ht="15" hidden="false" customHeight="true" outlineLevel="0" collapsed="false">
      <c r="A26" s="4" t="s">
        <v>168</v>
      </c>
      <c r="B26" s="4" t="s">
        <v>140</v>
      </c>
      <c r="C26" s="4" t="s">
        <v>169</v>
      </c>
      <c r="D26" s="4"/>
      <c r="E26" s="4" t="s">
        <v>170</v>
      </c>
      <c r="F26" s="4" t="s">
        <v>72</v>
      </c>
      <c r="G26" s="4"/>
      <c r="H26" s="4" t="s">
        <v>73</v>
      </c>
      <c r="I26" s="4"/>
      <c r="J26" s="4"/>
      <c r="K26" s="4" t="s">
        <v>143</v>
      </c>
      <c r="L26" s="4" t="s">
        <v>75</v>
      </c>
      <c r="M26" s="4" t="s">
        <v>144</v>
      </c>
      <c r="N26" s="14" t="n">
        <v>2060</v>
      </c>
      <c r="O26" s="15" t="n">
        <v>46235</v>
      </c>
      <c r="P26" s="16" t="n">
        <v>177</v>
      </c>
      <c r="Q26" s="4" t="s">
        <v>77</v>
      </c>
      <c r="R26" s="17" t="n">
        <v>1</v>
      </c>
      <c r="S26" s="18" t="n">
        <f aca="false">IF(OR(P26="",R26=""),"",P26*R26)</f>
        <v>177</v>
      </c>
      <c r="T26" s="14" t="n">
        <v>8</v>
      </c>
      <c r="U26" s="14" t="n">
        <v>4</v>
      </c>
      <c r="V26" s="14" t="n">
        <v>0</v>
      </c>
      <c r="W26" s="14" t="n">
        <v>0</v>
      </c>
      <c r="X26" s="18" t="n">
        <f aca="false">IF(S26="","",S26+N(T26)+N(U26)+N(V26)+N(W26))</f>
        <v>189</v>
      </c>
      <c r="Y26" s="4" t="s">
        <v>125</v>
      </c>
      <c r="Z26" s="15"/>
      <c r="AA26" s="14" t="n">
        <v>385</v>
      </c>
      <c r="AB26" s="19"/>
      <c r="AC26" s="4" t="s">
        <v>79</v>
      </c>
      <c r="AD26" s="15"/>
      <c r="AE26" s="14" t="n">
        <v>308</v>
      </c>
      <c r="AF26" s="14" t="n">
        <v>262</v>
      </c>
      <c r="AG26" s="14" t="n">
        <v>0</v>
      </c>
      <c r="AH26" s="18" t="n">
        <f aca="false">IF(AND(AC26="Sold",AE26&lt;&gt;"",AF26&lt;&gt;""),AE26-AF26,"")</f>
        <v>46</v>
      </c>
      <c r="AI26" s="18" t="n">
        <f aca="false">IF(AND(AC26="Sold",AF26&lt;&gt;"",X26&lt;&gt;""),AF26-N(AG26)-X26,"")</f>
        <v>73</v>
      </c>
      <c r="AJ26" s="20" t="n">
        <f aca="false">IF(AND(AI26&lt;&gt;"",N(AE26)&gt;0),AI26/AE26,"")</f>
        <v>0.237012987012987</v>
      </c>
      <c r="AK26" s="20" t="n">
        <f aca="false">IF(AND(AI26&lt;&gt;"",N(X26)&gt;0),AI26/X26,"")</f>
        <v>0.386243386243386</v>
      </c>
      <c r="AL26" s="21" t="str">
        <f aca="false">IF(AND(AC26="Sold",AD26&lt;&gt;"",Z26&lt;&gt;""),AD26-Z26,"")</f>
        <v/>
      </c>
      <c r="AM26" s="20" t="n">
        <f aca="false">IF(AND(AC26="Sold",N(AA26)&gt;0,AE26&lt;&gt;""),1-AE26/AA26,"")</f>
        <v>0.2</v>
      </c>
      <c r="AN26" s="21" t="str">
        <f aca="true">IF(AND(AC26&lt;&gt;"Sold",AC26&lt;&gt;"",Z26&lt;&gt;""),TODAY()-Z26,"")</f>
        <v/>
      </c>
      <c r="AO26" s="4" t="s">
        <v>86</v>
      </c>
      <c r="AP26" s="4" t="s">
        <v>145</v>
      </c>
    </row>
    <row r="27" customFormat="false" ht="15" hidden="false" customHeight="true" outlineLevel="0" collapsed="false">
      <c r="A27" s="4" t="s">
        <v>171</v>
      </c>
      <c r="B27" s="4" t="s">
        <v>172</v>
      </c>
      <c r="C27" s="4" t="s">
        <v>173</v>
      </c>
      <c r="D27" s="4"/>
      <c r="E27" s="4" t="s">
        <v>174</v>
      </c>
      <c r="F27" s="4" t="s">
        <v>72</v>
      </c>
      <c r="G27" s="4"/>
      <c r="H27" s="4" t="s">
        <v>73</v>
      </c>
      <c r="I27" s="4"/>
      <c r="J27" s="4"/>
      <c r="K27" s="4" t="s">
        <v>143</v>
      </c>
      <c r="L27" s="4" t="s">
        <v>75</v>
      </c>
      <c r="M27" s="4" t="s">
        <v>144</v>
      </c>
      <c r="N27" s="14" t="n">
        <v>1997</v>
      </c>
      <c r="O27" s="15" t="n">
        <v>46235</v>
      </c>
      <c r="P27" s="16" t="n">
        <v>195</v>
      </c>
      <c r="Q27" s="4" t="s">
        <v>77</v>
      </c>
      <c r="R27" s="17" t="n">
        <v>1</v>
      </c>
      <c r="S27" s="18" t="n">
        <f aca="false">IF(OR(P27="",R27=""),"",P27*R27)</f>
        <v>195</v>
      </c>
      <c r="T27" s="14" t="n">
        <v>8</v>
      </c>
      <c r="U27" s="14" t="n">
        <v>4</v>
      </c>
      <c r="V27" s="14" t="n">
        <v>0</v>
      </c>
      <c r="W27" s="14" t="n">
        <v>0</v>
      </c>
      <c r="X27" s="18" t="n">
        <f aca="false">IF(S27="","",S27+N(T27)+N(U27)+N(V27)+N(W27))</f>
        <v>207</v>
      </c>
      <c r="Y27" s="4" t="s">
        <v>125</v>
      </c>
      <c r="Z27" s="15"/>
      <c r="AA27" s="14" t="n">
        <v>424</v>
      </c>
      <c r="AB27" s="19"/>
      <c r="AC27" s="4" t="s">
        <v>79</v>
      </c>
      <c r="AD27" s="15"/>
      <c r="AE27" s="14" t="n">
        <v>339</v>
      </c>
      <c r="AF27" s="14" t="n">
        <v>288</v>
      </c>
      <c r="AG27" s="14" t="n">
        <v>0</v>
      </c>
      <c r="AH27" s="18" t="n">
        <f aca="false">IF(AND(AC27="Sold",AE27&lt;&gt;"",AF27&lt;&gt;""),AE27-AF27,"")</f>
        <v>51</v>
      </c>
      <c r="AI27" s="18" t="n">
        <f aca="false">IF(AND(AC27="Sold",AF27&lt;&gt;"",X27&lt;&gt;""),AF27-N(AG27)-X27,"")</f>
        <v>81</v>
      </c>
      <c r="AJ27" s="20" t="n">
        <f aca="false">IF(AND(AI27&lt;&gt;"",N(AE27)&gt;0),AI27/AE27,"")</f>
        <v>0.238938053097345</v>
      </c>
      <c r="AK27" s="20" t="n">
        <f aca="false">IF(AND(AI27&lt;&gt;"",N(X27)&gt;0),AI27/X27,"")</f>
        <v>0.391304347826087</v>
      </c>
      <c r="AL27" s="21" t="str">
        <f aca="false">IF(AND(AC27="Sold",AD27&lt;&gt;"",Z27&lt;&gt;""),AD27-Z27,"")</f>
        <v/>
      </c>
      <c r="AM27" s="20" t="n">
        <f aca="false">IF(AND(AC27="Sold",N(AA27)&gt;0,AE27&lt;&gt;""),1-AE27/AA27,"")</f>
        <v>0.200471698113208</v>
      </c>
      <c r="AN27" s="21" t="str">
        <f aca="true">IF(AND(AC27&lt;&gt;"Sold",AC27&lt;&gt;"",Z27&lt;&gt;""),TODAY()-Z27,"")</f>
        <v/>
      </c>
      <c r="AO27" s="4" t="s">
        <v>86</v>
      </c>
      <c r="AP27" s="4" t="s">
        <v>145</v>
      </c>
    </row>
    <row r="28" customFormat="false" ht="15" hidden="false" customHeight="true" outlineLevel="0" collapsed="false">
      <c r="A28" s="4" t="s">
        <v>175</v>
      </c>
      <c r="B28" s="4" t="s">
        <v>99</v>
      </c>
      <c r="C28" s="4" t="s">
        <v>176</v>
      </c>
      <c r="D28" s="4"/>
      <c r="E28" s="4" t="s">
        <v>177</v>
      </c>
      <c r="F28" s="4" t="s">
        <v>72</v>
      </c>
      <c r="G28" s="4"/>
      <c r="H28" s="4" t="s">
        <v>73</v>
      </c>
      <c r="I28" s="4"/>
      <c r="J28" s="4"/>
      <c r="K28" s="4" t="s">
        <v>143</v>
      </c>
      <c r="L28" s="4" t="s">
        <v>75</v>
      </c>
      <c r="M28" s="4" t="s">
        <v>144</v>
      </c>
      <c r="N28" s="14" t="n">
        <v>1897</v>
      </c>
      <c r="O28" s="15" t="n">
        <v>46235</v>
      </c>
      <c r="P28" s="16" t="n">
        <v>43</v>
      </c>
      <c r="Q28" s="4" t="s">
        <v>77</v>
      </c>
      <c r="R28" s="17" t="n">
        <v>1</v>
      </c>
      <c r="S28" s="18" t="n">
        <f aca="false">IF(OR(P28="",R28=""),"",P28*R28)</f>
        <v>43</v>
      </c>
      <c r="T28" s="14" t="n">
        <v>8</v>
      </c>
      <c r="U28" s="14" t="n">
        <v>4</v>
      </c>
      <c r="V28" s="14" t="n">
        <v>0</v>
      </c>
      <c r="W28" s="14" t="n">
        <v>0</v>
      </c>
      <c r="X28" s="18" t="n">
        <f aca="false">IF(S28="","",S28+N(T28)+N(U28)+N(V28)+N(W28))</f>
        <v>55</v>
      </c>
      <c r="Y28" s="4" t="s">
        <v>178</v>
      </c>
      <c r="Z28" s="15"/>
      <c r="AA28" s="14" t="n">
        <v>93</v>
      </c>
      <c r="AB28" s="19"/>
      <c r="AC28" s="4" t="s">
        <v>79</v>
      </c>
      <c r="AD28" s="15"/>
      <c r="AE28" s="14" t="n">
        <v>74</v>
      </c>
      <c r="AF28" s="14" t="n">
        <v>74</v>
      </c>
      <c r="AG28" s="14" t="n">
        <v>0</v>
      </c>
      <c r="AH28" s="18" t="n">
        <f aca="false">IF(AND(AC28="Sold",AE28&lt;&gt;"",AF28&lt;&gt;""),AE28-AF28,"")</f>
        <v>0</v>
      </c>
      <c r="AI28" s="18" t="n">
        <f aca="false">IF(AND(AC28="Sold",AF28&lt;&gt;"",X28&lt;&gt;""),AF28-N(AG28)-X28,"")</f>
        <v>19</v>
      </c>
      <c r="AJ28" s="20" t="n">
        <f aca="false">IF(AND(AI28&lt;&gt;"",N(AE28)&gt;0),AI28/AE28,"")</f>
        <v>0.256756756756757</v>
      </c>
      <c r="AK28" s="20" t="n">
        <f aca="false">IF(AND(AI28&lt;&gt;"",N(X28)&gt;0),AI28/X28,"")</f>
        <v>0.345454545454545</v>
      </c>
      <c r="AL28" s="21" t="str">
        <f aca="false">IF(AND(AC28="Sold",AD28&lt;&gt;"",Z28&lt;&gt;""),AD28-Z28,"")</f>
        <v/>
      </c>
      <c r="AM28" s="20" t="n">
        <f aca="false">IF(AND(AC28="Sold",N(AA28)&gt;0,AE28&lt;&gt;""),1-AE28/AA28,"")</f>
        <v>0.204301075268817</v>
      </c>
      <c r="AN28" s="21" t="str">
        <f aca="true">IF(AND(AC28&lt;&gt;"Sold",AC28&lt;&gt;"",Z28&lt;&gt;""),TODAY()-Z28,"")</f>
        <v/>
      </c>
      <c r="AO28" s="4" t="s">
        <v>80</v>
      </c>
      <c r="AP28" s="4" t="s">
        <v>179</v>
      </c>
    </row>
    <row r="29" customFormat="false" ht="15" hidden="false" customHeight="true" outlineLevel="0" collapsed="false">
      <c r="A29" s="4" t="s">
        <v>180</v>
      </c>
      <c r="B29" s="4" t="s">
        <v>140</v>
      </c>
      <c r="C29" s="4" t="s">
        <v>181</v>
      </c>
      <c r="D29" s="4"/>
      <c r="E29" s="4" t="s">
        <v>182</v>
      </c>
      <c r="F29" s="4" t="s">
        <v>167</v>
      </c>
      <c r="G29" s="4"/>
      <c r="H29" s="4" t="s">
        <v>85</v>
      </c>
      <c r="I29" s="4"/>
      <c r="J29" s="4"/>
      <c r="K29" s="4" t="s">
        <v>143</v>
      </c>
      <c r="L29" s="4" t="s">
        <v>75</v>
      </c>
      <c r="M29" s="4" t="s">
        <v>144</v>
      </c>
      <c r="N29" s="14" t="n">
        <v>1896</v>
      </c>
      <c r="O29" s="15" t="n">
        <v>46235</v>
      </c>
      <c r="P29" s="16" t="n">
        <v>35</v>
      </c>
      <c r="Q29" s="4" t="s">
        <v>77</v>
      </c>
      <c r="R29" s="17" t="n">
        <v>1</v>
      </c>
      <c r="S29" s="18" t="n">
        <f aca="false">IF(OR(P29="",R29=""),"",P29*R29)</f>
        <v>35</v>
      </c>
      <c r="T29" s="14" t="n">
        <v>8</v>
      </c>
      <c r="U29" s="14" t="n">
        <v>4</v>
      </c>
      <c r="V29" s="14" t="n">
        <v>0</v>
      </c>
      <c r="W29" s="14" t="n">
        <v>0</v>
      </c>
      <c r="X29" s="18" t="n">
        <f aca="false">IF(S29="","",S29+N(T29)+N(U29)+N(V29)+N(W29))</f>
        <v>47</v>
      </c>
      <c r="Y29" s="4" t="s">
        <v>178</v>
      </c>
      <c r="Z29" s="15"/>
      <c r="AA29" s="14" t="n">
        <v>76</v>
      </c>
      <c r="AB29" s="19"/>
      <c r="AC29" s="4" t="s">
        <v>79</v>
      </c>
      <c r="AD29" s="15"/>
      <c r="AE29" s="14" t="n">
        <v>60</v>
      </c>
      <c r="AF29" s="14" t="n">
        <v>60</v>
      </c>
      <c r="AG29" s="14" t="n">
        <v>0</v>
      </c>
      <c r="AH29" s="18" t="n">
        <f aca="false">IF(AND(AC29="Sold",AE29&lt;&gt;"",AF29&lt;&gt;""),AE29-AF29,"")</f>
        <v>0</v>
      </c>
      <c r="AI29" s="18" t="n">
        <f aca="false">IF(AND(AC29="Sold",AF29&lt;&gt;"",X29&lt;&gt;""),AF29-N(AG29)-X29,"")</f>
        <v>13</v>
      </c>
      <c r="AJ29" s="20" t="n">
        <f aca="false">IF(AND(AI29&lt;&gt;"",N(AE29)&gt;0),AI29/AE29,"")</f>
        <v>0.216666666666667</v>
      </c>
      <c r="AK29" s="20" t="n">
        <f aca="false">IF(AND(AI29&lt;&gt;"",N(X29)&gt;0),AI29/X29,"")</f>
        <v>0.276595744680851</v>
      </c>
      <c r="AL29" s="21" t="str">
        <f aca="false">IF(AND(AC29="Sold",AD29&lt;&gt;"",Z29&lt;&gt;""),AD29-Z29,"")</f>
        <v/>
      </c>
      <c r="AM29" s="20" t="n">
        <f aca="false">IF(AND(AC29="Sold",N(AA29)&gt;0,AE29&lt;&gt;""),1-AE29/AA29,"")</f>
        <v>0.210526315789474</v>
      </c>
      <c r="AN29" s="21" t="str">
        <f aca="true">IF(AND(AC29&lt;&gt;"Sold",AC29&lt;&gt;"",Z29&lt;&gt;""),TODAY()-Z29,"")</f>
        <v/>
      </c>
      <c r="AO29" s="4" t="s">
        <v>80</v>
      </c>
      <c r="AP29" s="4" t="s">
        <v>179</v>
      </c>
    </row>
    <row r="30" customFormat="false" ht="15" hidden="false" customHeight="true" outlineLevel="0" collapsed="false">
      <c r="A30" s="4" t="s">
        <v>183</v>
      </c>
      <c r="B30" s="4" t="s">
        <v>140</v>
      </c>
      <c r="C30" s="4" t="s">
        <v>184</v>
      </c>
      <c r="D30" s="4"/>
      <c r="E30" s="4" t="s">
        <v>185</v>
      </c>
      <c r="F30" s="4" t="s">
        <v>72</v>
      </c>
      <c r="G30" s="4"/>
      <c r="H30" s="4" t="s">
        <v>73</v>
      </c>
      <c r="I30" s="4"/>
      <c r="J30" s="4"/>
      <c r="K30" s="4" t="s">
        <v>143</v>
      </c>
      <c r="L30" s="4" t="s">
        <v>75</v>
      </c>
      <c r="M30" s="4" t="s">
        <v>144</v>
      </c>
      <c r="N30" s="14" t="n">
        <v>2146</v>
      </c>
      <c r="O30" s="15" t="n">
        <v>46235</v>
      </c>
      <c r="P30" s="16" t="n">
        <v>226</v>
      </c>
      <c r="Q30" s="4" t="s">
        <v>77</v>
      </c>
      <c r="R30" s="17" t="n">
        <v>1</v>
      </c>
      <c r="S30" s="18" t="n">
        <f aca="false">IF(OR(P30="",R30=""),"",P30*R30)</f>
        <v>226</v>
      </c>
      <c r="T30" s="14" t="n">
        <v>9</v>
      </c>
      <c r="U30" s="14" t="n">
        <v>4</v>
      </c>
      <c r="V30" s="14" t="n">
        <v>0</v>
      </c>
      <c r="W30" s="14" t="n">
        <v>0</v>
      </c>
      <c r="X30" s="18" t="n">
        <f aca="false">IF(S30="","",S30+N(T30)+N(U30)+N(V30)+N(W30))</f>
        <v>239</v>
      </c>
      <c r="Y30" s="4" t="s">
        <v>178</v>
      </c>
      <c r="Z30" s="15"/>
      <c r="AA30" s="14" t="n">
        <v>490</v>
      </c>
      <c r="AB30" s="19"/>
      <c r="AC30" s="4" t="s">
        <v>79</v>
      </c>
      <c r="AD30" s="15"/>
      <c r="AE30" s="14" t="n">
        <v>392</v>
      </c>
      <c r="AF30" s="14" t="n">
        <v>392</v>
      </c>
      <c r="AG30" s="14" t="n">
        <v>0</v>
      </c>
      <c r="AH30" s="18" t="n">
        <f aca="false">IF(AND(AC30="Sold",AE30&lt;&gt;"",AF30&lt;&gt;""),AE30-AF30,"")</f>
        <v>0</v>
      </c>
      <c r="AI30" s="18" t="n">
        <f aca="false">IF(AND(AC30="Sold",AF30&lt;&gt;"",X30&lt;&gt;""),AF30-N(AG30)-X30,"")</f>
        <v>153</v>
      </c>
      <c r="AJ30" s="20" t="n">
        <f aca="false">IF(AND(AI30&lt;&gt;"",N(AE30)&gt;0),AI30/AE30,"")</f>
        <v>0.39030612244898</v>
      </c>
      <c r="AK30" s="20" t="n">
        <f aca="false">IF(AND(AI30&lt;&gt;"",N(X30)&gt;0),AI30/X30,"")</f>
        <v>0.640167364016736</v>
      </c>
      <c r="AL30" s="21" t="str">
        <f aca="false">IF(AND(AC30="Sold",AD30&lt;&gt;"",Z30&lt;&gt;""),AD30-Z30,"")</f>
        <v/>
      </c>
      <c r="AM30" s="20" t="n">
        <f aca="false">IF(AND(AC30="Sold",N(AA30)&gt;0,AE30&lt;&gt;""),1-AE30/AA30,"")</f>
        <v>0.2</v>
      </c>
      <c r="AN30" s="21" t="str">
        <f aca="true">IF(AND(AC30&lt;&gt;"Sold",AC30&lt;&gt;"",Z30&lt;&gt;""),TODAY()-Z30,"")</f>
        <v/>
      </c>
      <c r="AO30" s="4" t="s">
        <v>80</v>
      </c>
      <c r="AP30" s="4" t="s">
        <v>179</v>
      </c>
    </row>
    <row r="31" customFormat="false" ht="15" hidden="false" customHeight="true" outlineLevel="0" collapsed="false">
      <c r="A31" s="4" t="s">
        <v>186</v>
      </c>
      <c r="B31" s="4" t="s">
        <v>140</v>
      </c>
      <c r="C31" s="4" t="s">
        <v>187</v>
      </c>
      <c r="D31" s="4"/>
      <c r="E31" s="4" t="s">
        <v>120</v>
      </c>
      <c r="F31" s="4" t="s">
        <v>188</v>
      </c>
      <c r="G31" s="4"/>
      <c r="H31" s="4" t="s">
        <v>73</v>
      </c>
      <c r="I31" s="4"/>
      <c r="J31" s="4"/>
      <c r="K31" s="4" t="s">
        <v>143</v>
      </c>
      <c r="L31" s="4" t="s">
        <v>75</v>
      </c>
      <c r="M31" s="4" t="s">
        <v>144</v>
      </c>
      <c r="N31" s="14" t="n">
        <v>2344</v>
      </c>
      <c r="O31" s="15" t="n">
        <v>46235</v>
      </c>
      <c r="P31" s="16" t="n">
        <v>50</v>
      </c>
      <c r="Q31" s="4" t="s">
        <v>77</v>
      </c>
      <c r="R31" s="17" t="n">
        <v>1</v>
      </c>
      <c r="S31" s="18" t="n">
        <f aca="false">IF(OR(P31="",R31=""),"",P31*R31)</f>
        <v>50</v>
      </c>
      <c r="T31" s="14" t="n">
        <v>9</v>
      </c>
      <c r="U31" s="14" t="n">
        <v>5</v>
      </c>
      <c r="V31" s="14" t="n">
        <v>0</v>
      </c>
      <c r="W31" s="14" t="n">
        <v>0</v>
      </c>
      <c r="X31" s="18" t="n">
        <f aca="false">IF(S31="","",S31+N(T31)+N(U31)+N(V31)+N(W31))</f>
        <v>64</v>
      </c>
      <c r="Y31" s="4" t="s">
        <v>178</v>
      </c>
      <c r="Z31" s="15"/>
      <c r="AA31" s="14" t="n">
        <v>108</v>
      </c>
      <c r="AB31" s="19"/>
      <c r="AC31" s="4" t="s">
        <v>79</v>
      </c>
      <c r="AD31" s="15"/>
      <c r="AE31" s="14" t="n">
        <v>86</v>
      </c>
      <c r="AF31" s="14" t="n">
        <v>86</v>
      </c>
      <c r="AG31" s="14" t="n">
        <v>0</v>
      </c>
      <c r="AH31" s="18" t="n">
        <f aca="false">IF(AND(AC31="Sold",AE31&lt;&gt;"",AF31&lt;&gt;""),AE31-AF31,"")</f>
        <v>0</v>
      </c>
      <c r="AI31" s="18" t="n">
        <f aca="false">IF(AND(AC31="Sold",AF31&lt;&gt;"",X31&lt;&gt;""),AF31-N(AG31)-X31,"")</f>
        <v>22</v>
      </c>
      <c r="AJ31" s="20" t="n">
        <f aca="false">IF(AND(AI31&lt;&gt;"",N(AE31)&gt;0),AI31/AE31,"")</f>
        <v>0.255813953488372</v>
      </c>
      <c r="AK31" s="20" t="n">
        <f aca="false">IF(AND(AI31&lt;&gt;"",N(X31)&gt;0),AI31/X31,"")</f>
        <v>0.34375</v>
      </c>
      <c r="AL31" s="21" t="str">
        <f aca="false">IF(AND(AC31="Sold",AD31&lt;&gt;"",Z31&lt;&gt;""),AD31-Z31,"")</f>
        <v/>
      </c>
      <c r="AM31" s="20" t="n">
        <f aca="false">IF(AND(AC31="Sold",N(AA31)&gt;0,AE31&lt;&gt;""),1-AE31/AA31,"")</f>
        <v>0.203703703703704</v>
      </c>
      <c r="AN31" s="21" t="str">
        <f aca="true">IF(AND(AC31&lt;&gt;"Sold",AC31&lt;&gt;"",Z31&lt;&gt;""),TODAY()-Z31,"")</f>
        <v/>
      </c>
      <c r="AO31" s="4" t="s">
        <v>80</v>
      </c>
      <c r="AP31" s="4" t="s">
        <v>179</v>
      </c>
    </row>
    <row r="32" customFormat="false" ht="15" hidden="false" customHeight="true" outlineLevel="0" collapsed="false">
      <c r="A32" s="4" t="s">
        <v>189</v>
      </c>
      <c r="B32" s="4" t="s">
        <v>190</v>
      </c>
      <c r="C32" s="4" t="s">
        <v>152</v>
      </c>
      <c r="D32" s="4"/>
      <c r="E32" s="4" t="s">
        <v>142</v>
      </c>
      <c r="F32" s="4" t="s">
        <v>72</v>
      </c>
      <c r="G32" s="4"/>
      <c r="H32" s="4" t="s">
        <v>73</v>
      </c>
      <c r="I32" s="4"/>
      <c r="J32" s="4"/>
      <c r="K32" s="4" t="s">
        <v>143</v>
      </c>
      <c r="L32" s="4" t="s">
        <v>75</v>
      </c>
      <c r="M32" s="4" t="s">
        <v>191</v>
      </c>
      <c r="N32" s="14" t="n">
        <v>2369</v>
      </c>
      <c r="O32" s="15" t="n">
        <v>46266</v>
      </c>
      <c r="P32" s="16" t="n">
        <v>48</v>
      </c>
      <c r="Q32" s="4" t="s">
        <v>77</v>
      </c>
      <c r="R32" s="17" t="n">
        <v>1</v>
      </c>
      <c r="S32" s="18" t="n">
        <f aca="false">IF(OR(P32="",R32=""),"",P32*R32)</f>
        <v>48</v>
      </c>
      <c r="T32" s="14" t="n">
        <v>11</v>
      </c>
      <c r="U32" s="14" t="n">
        <v>4</v>
      </c>
      <c r="V32" s="14" t="n">
        <v>0</v>
      </c>
      <c r="W32" s="14" t="n">
        <v>0</v>
      </c>
      <c r="X32" s="18" t="n">
        <f aca="false">IF(S32="","",S32+N(T32)+N(U32)+N(V32)+N(W32))</f>
        <v>63</v>
      </c>
      <c r="Y32" s="4" t="s">
        <v>178</v>
      </c>
      <c r="Z32" s="15"/>
      <c r="AA32" s="14" t="n">
        <v>120</v>
      </c>
      <c r="AB32" s="19"/>
      <c r="AC32" s="4" t="s">
        <v>79</v>
      </c>
      <c r="AD32" s="15"/>
      <c r="AE32" s="14" t="n">
        <v>86</v>
      </c>
      <c r="AF32" s="14" t="n">
        <v>86</v>
      </c>
      <c r="AG32" s="14" t="n">
        <v>0</v>
      </c>
      <c r="AH32" s="18" t="n">
        <f aca="false">IF(AND(AC32="Sold",AE32&lt;&gt;"",AF32&lt;&gt;""),AE32-AF32,"")</f>
        <v>0</v>
      </c>
      <c r="AI32" s="18" t="n">
        <f aca="false">IF(AND(AC32="Sold",AF32&lt;&gt;"",X32&lt;&gt;""),AF32-N(AG32)-X32,"")</f>
        <v>23</v>
      </c>
      <c r="AJ32" s="20" t="n">
        <f aca="false">IF(AND(AI32&lt;&gt;"",N(AE32)&gt;0),AI32/AE32,"")</f>
        <v>0.267441860465116</v>
      </c>
      <c r="AK32" s="20" t="n">
        <f aca="false">IF(AND(AI32&lt;&gt;"",N(X32)&gt;0),AI32/X32,"")</f>
        <v>0.365079365079365</v>
      </c>
      <c r="AL32" s="21" t="str">
        <f aca="false">IF(AND(AC32="Sold",AD32&lt;&gt;"",Z32&lt;&gt;""),AD32-Z32,"")</f>
        <v/>
      </c>
      <c r="AM32" s="20" t="n">
        <f aca="false">IF(AND(AC32="Sold",N(AA32)&gt;0,AE32&lt;&gt;""),1-AE32/AA32,"")</f>
        <v>0.283333333333333</v>
      </c>
      <c r="AN32" s="21" t="str">
        <f aca="true">IF(AND(AC32&lt;&gt;"Sold",AC32&lt;&gt;"",Z32&lt;&gt;""),TODAY()-Z32,"")</f>
        <v/>
      </c>
      <c r="AO32" s="4" t="s">
        <v>80</v>
      </c>
      <c r="AP32" s="4" t="s">
        <v>192</v>
      </c>
    </row>
    <row r="33" customFormat="false" ht="15" hidden="false" customHeight="true" outlineLevel="0" collapsed="false">
      <c r="A33" s="4" t="s">
        <v>193</v>
      </c>
      <c r="B33" s="4" t="s">
        <v>194</v>
      </c>
      <c r="C33" s="4" t="s">
        <v>195</v>
      </c>
      <c r="D33" s="4"/>
      <c r="E33" s="4" t="s">
        <v>120</v>
      </c>
      <c r="F33" s="4" t="s">
        <v>167</v>
      </c>
      <c r="G33" s="4"/>
      <c r="H33" s="4" t="s">
        <v>73</v>
      </c>
      <c r="I33" s="4"/>
      <c r="J33" s="4"/>
      <c r="K33" s="4" t="s">
        <v>143</v>
      </c>
      <c r="L33" s="4" t="s">
        <v>75</v>
      </c>
      <c r="M33" s="4" t="s">
        <v>191</v>
      </c>
      <c r="N33" s="14" t="n">
        <v>2371</v>
      </c>
      <c r="O33" s="15" t="n">
        <v>46266</v>
      </c>
      <c r="P33" s="16" t="n">
        <v>289</v>
      </c>
      <c r="Q33" s="4" t="s">
        <v>77</v>
      </c>
      <c r="R33" s="17" t="n">
        <v>1</v>
      </c>
      <c r="S33" s="18" t="n">
        <f aca="false">IF(OR(P33="",R33=""),"",P33*R33)</f>
        <v>289</v>
      </c>
      <c r="T33" s="14" t="n">
        <v>11</v>
      </c>
      <c r="U33" s="14" t="n">
        <v>4</v>
      </c>
      <c r="V33" s="14" t="n">
        <v>0</v>
      </c>
      <c r="W33" s="14" t="n">
        <v>0</v>
      </c>
      <c r="X33" s="18" t="n">
        <f aca="false">IF(S33="","",S33+N(T33)+N(U33)+N(V33)+N(W33))</f>
        <v>304</v>
      </c>
      <c r="Y33" s="4" t="s">
        <v>178</v>
      </c>
      <c r="Z33" s="15"/>
      <c r="AA33" s="14" t="n">
        <v>638</v>
      </c>
      <c r="AB33" s="19"/>
      <c r="AC33" s="4" t="s">
        <v>79</v>
      </c>
      <c r="AD33" s="15"/>
      <c r="AE33" s="14" t="n">
        <v>455</v>
      </c>
      <c r="AF33" s="14" t="n">
        <v>455</v>
      </c>
      <c r="AG33" s="14" t="n">
        <v>0</v>
      </c>
      <c r="AH33" s="18" t="n">
        <f aca="false">IF(AND(AC33="Sold",AE33&lt;&gt;"",AF33&lt;&gt;""),AE33-AF33,"")</f>
        <v>0</v>
      </c>
      <c r="AI33" s="18" t="n">
        <f aca="false">IF(AND(AC33="Sold",AF33&lt;&gt;"",X33&lt;&gt;""),AF33-N(AG33)-X33,"")</f>
        <v>151</v>
      </c>
      <c r="AJ33" s="20" t="n">
        <f aca="false">IF(AND(AI33&lt;&gt;"",N(AE33)&gt;0),AI33/AE33,"")</f>
        <v>0.331868131868132</v>
      </c>
      <c r="AK33" s="20" t="n">
        <f aca="false">IF(AND(AI33&lt;&gt;"",N(X33)&gt;0),AI33/X33,"")</f>
        <v>0.49671052631579</v>
      </c>
      <c r="AL33" s="21" t="str">
        <f aca="false">IF(AND(AC33="Sold",AD33&lt;&gt;"",Z33&lt;&gt;""),AD33-Z33,"")</f>
        <v/>
      </c>
      <c r="AM33" s="20" t="n">
        <f aca="false">IF(AND(AC33="Sold",N(AA33)&gt;0,AE33&lt;&gt;""),1-AE33/AA33,"")</f>
        <v>0.286833855799373</v>
      </c>
      <c r="AN33" s="21" t="str">
        <f aca="true">IF(AND(AC33&lt;&gt;"Sold",AC33&lt;&gt;"",Z33&lt;&gt;""),TODAY()-Z33,"")</f>
        <v/>
      </c>
      <c r="AO33" s="4" t="s">
        <v>80</v>
      </c>
      <c r="AP33" s="4" t="s">
        <v>192</v>
      </c>
    </row>
    <row r="34" customFormat="false" ht="15" hidden="false" customHeight="true" outlineLevel="0" collapsed="false">
      <c r="A34" s="4" t="s">
        <v>196</v>
      </c>
      <c r="B34" s="4" t="s">
        <v>69</v>
      </c>
      <c r="C34" s="4" t="s">
        <v>197</v>
      </c>
      <c r="D34" s="4"/>
      <c r="E34" s="4" t="s">
        <v>162</v>
      </c>
      <c r="F34" s="4" t="s">
        <v>198</v>
      </c>
      <c r="G34" s="4"/>
      <c r="H34" s="4" t="s">
        <v>96</v>
      </c>
      <c r="I34" s="4"/>
      <c r="J34" s="4"/>
      <c r="K34" s="4" t="s">
        <v>143</v>
      </c>
      <c r="L34" s="4" t="s">
        <v>75</v>
      </c>
      <c r="M34" s="4" t="s">
        <v>191</v>
      </c>
      <c r="N34" s="14" t="n">
        <v>1920</v>
      </c>
      <c r="O34" s="15" t="n">
        <v>46266</v>
      </c>
      <c r="P34" s="16" t="n">
        <v>117</v>
      </c>
      <c r="Q34" s="4" t="s">
        <v>77</v>
      </c>
      <c r="R34" s="17" t="n">
        <v>1</v>
      </c>
      <c r="S34" s="18" t="n">
        <f aca="false">IF(OR(P34="",R34=""),"",P34*R34)</f>
        <v>117</v>
      </c>
      <c r="T34" s="14" t="n">
        <v>9</v>
      </c>
      <c r="U34" s="14" t="n">
        <v>4</v>
      </c>
      <c r="V34" s="14" t="n">
        <v>0</v>
      </c>
      <c r="W34" s="14" t="n">
        <v>0</v>
      </c>
      <c r="X34" s="18" t="n">
        <f aca="false">IF(S34="","",S34+N(T34)+N(U34)+N(V34)+N(W34))</f>
        <v>130</v>
      </c>
      <c r="Y34" s="4" t="s">
        <v>178</v>
      </c>
      <c r="Z34" s="15"/>
      <c r="AA34" s="14" t="n">
        <v>298</v>
      </c>
      <c r="AB34" s="19"/>
      <c r="AC34" s="4" t="s">
        <v>79</v>
      </c>
      <c r="AD34" s="15"/>
      <c r="AE34" s="14" t="n">
        <v>213</v>
      </c>
      <c r="AF34" s="14" t="n">
        <v>213</v>
      </c>
      <c r="AG34" s="14" t="n">
        <v>0</v>
      </c>
      <c r="AH34" s="18" t="n">
        <f aca="false">IF(AND(AC34="Sold",AE34&lt;&gt;"",AF34&lt;&gt;""),AE34-AF34,"")</f>
        <v>0</v>
      </c>
      <c r="AI34" s="18" t="n">
        <f aca="false">IF(AND(AC34="Sold",AF34&lt;&gt;"",X34&lt;&gt;""),AF34-N(AG34)-X34,"")</f>
        <v>83</v>
      </c>
      <c r="AJ34" s="20" t="n">
        <f aca="false">IF(AND(AI34&lt;&gt;"",N(AE34)&gt;0),AI34/AE34,"")</f>
        <v>0.389671361502347</v>
      </c>
      <c r="AK34" s="20" t="n">
        <f aca="false">IF(AND(AI34&lt;&gt;"",N(X34)&gt;0),AI34/X34,"")</f>
        <v>0.638461538461538</v>
      </c>
      <c r="AL34" s="21" t="str">
        <f aca="false">IF(AND(AC34="Sold",AD34&lt;&gt;"",Z34&lt;&gt;""),AD34-Z34,"")</f>
        <v/>
      </c>
      <c r="AM34" s="20" t="n">
        <f aca="false">IF(AND(AC34="Sold",N(AA34)&gt;0,AE34&lt;&gt;""),1-AE34/AA34,"")</f>
        <v>0.285234899328859</v>
      </c>
      <c r="AN34" s="21" t="str">
        <f aca="true">IF(AND(AC34&lt;&gt;"Sold",AC34&lt;&gt;"",Z34&lt;&gt;""),TODAY()-Z34,"")</f>
        <v/>
      </c>
      <c r="AO34" s="4" t="s">
        <v>80</v>
      </c>
      <c r="AP34" s="4" t="s">
        <v>192</v>
      </c>
    </row>
    <row r="35" customFormat="false" ht="15" hidden="false" customHeight="true" outlineLevel="0" collapsed="false">
      <c r="A35" s="4" t="s">
        <v>199</v>
      </c>
      <c r="B35" s="4" t="s">
        <v>94</v>
      </c>
      <c r="C35" s="4" t="s">
        <v>200</v>
      </c>
      <c r="D35" s="4"/>
      <c r="E35" s="4" t="s">
        <v>170</v>
      </c>
      <c r="F35" s="4" t="s">
        <v>72</v>
      </c>
      <c r="G35" s="4"/>
      <c r="H35" s="4" t="s">
        <v>73</v>
      </c>
      <c r="I35" s="4"/>
      <c r="J35" s="4"/>
      <c r="K35" s="4" t="s">
        <v>143</v>
      </c>
      <c r="L35" s="4" t="s">
        <v>75</v>
      </c>
      <c r="M35" s="4" t="s">
        <v>191</v>
      </c>
      <c r="N35" s="14" t="n">
        <v>1973</v>
      </c>
      <c r="O35" s="15" t="n">
        <v>46266</v>
      </c>
      <c r="P35" s="16" t="n">
        <v>76</v>
      </c>
      <c r="Q35" s="4" t="s">
        <v>77</v>
      </c>
      <c r="R35" s="17" t="n">
        <v>1</v>
      </c>
      <c r="S35" s="18" t="n">
        <f aca="false">IF(OR(P35="",R35=""),"",P35*R35)</f>
        <v>76</v>
      </c>
      <c r="T35" s="14" t="n">
        <v>9</v>
      </c>
      <c r="U35" s="14" t="n">
        <v>4</v>
      </c>
      <c r="V35" s="14" t="n">
        <v>0</v>
      </c>
      <c r="W35" s="14" t="n">
        <v>0</v>
      </c>
      <c r="X35" s="18" t="n">
        <f aca="false">IF(S35="","",S35+N(T35)+N(U35)+N(V35)+N(W35))</f>
        <v>89</v>
      </c>
      <c r="Y35" s="4" t="s">
        <v>178</v>
      </c>
      <c r="Z35" s="15"/>
      <c r="AA35" s="14" t="n">
        <v>175</v>
      </c>
      <c r="AB35" s="19"/>
      <c r="AC35" s="4" t="s">
        <v>79</v>
      </c>
      <c r="AD35" s="15"/>
      <c r="AE35" s="14" t="n">
        <v>125</v>
      </c>
      <c r="AF35" s="14" t="n">
        <v>125</v>
      </c>
      <c r="AG35" s="14" t="n">
        <v>0</v>
      </c>
      <c r="AH35" s="18" t="n">
        <f aca="false">IF(AND(AC35="Sold",AE35&lt;&gt;"",AF35&lt;&gt;""),AE35-AF35,"")</f>
        <v>0</v>
      </c>
      <c r="AI35" s="18" t="n">
        <f aca="false">IF(AND(AC35="Sold",AF35&lt;&gt;"",X35&lt;&gt;""),AF35-N(AG35)-X35,"")</f>
        <v>36</v>
      </c>
      <c r="AJ35" s="20" t="n">
        <f aca="false">IF(AND(AI35&lt;&gt;"",N(AE35)&gt;0),AI35/AE35,"")</f>
        <v>0.288</v>
      </c>
      <c r="AK35" s="20" t="n">
        <f aca="false">IF(AND(AI35&lt;&gt;"",N(X35)&gt;0),AI35/X35,"")</f>
        <v>0.404494382022472</v>
      </c>
      <c r="AL35" s="21" t="str">
        <f aca="false">IF(AND(AC35="Sold",AD35&lt;&gt;"",Z35&lt;&gt;""),AD35-Z35,"")</f>
        <v/>
      </c>
      <c r="AM35" s="20" t="n">
        <f aca="false">IF(AND(AC35="Sold",N(AA35)&gt;0,AE35&lt;&gt;""),1-AE35/AA35,"")</f>
        <v>0.285714285714286</v>
      </c>
      <c r="AN35" s="21" t="str">
        <f aca="true">IF(AND(AC35&lt;&gt;"Sold",AC35&lt;&gt;"",Z35&lt;&gt;""),TODAY()-Z35,"")</f>
        <v/>
      </c>
      <c r="AO35" s="4" t="s">
        <v>80</v>
      </c>
      <c r="AP35" s="4" t="s">
        <v>192</v>
      </c>
    </row>
    <row r="36" customFormat="false" ht="15" hidden="false" customHeight="true" outlineLevel="0" collapsed="false">
      <c r="A36" s="4" t="s">
        <v>201</v>
      </c>
      <c r="B36" s="4" t="s">
        <v>190</v>
      </c>
      <c r="C36" s="4" t="s">
        <v>202</v>
      </c>
      <c r="D36" s="4"/>
      <c r="E36" s="4" t="s">
        <v>71</v>
      </c>
      <c r="F36" s="4" t="s">
        <v>72</v>
      </c>
      <c r="G36" s="4"/>
      <c r="H36" s="4" t="s">
        <v>73</v>
      </c>
      <c r="I36" s="4"/>
      <c r="J36" s="4"/>
      <c r="K36" s="4" t="s">
        <v>143</v>
      </c>
      <c r="L36" s="4" t="s">
        <v>75</v>
      </c>
      <c r="M36" s="4" t="s">
        <v>191</v>
      </c>
      <c r="N36" s="14" t="n">
        <v>2314</v>
      </c>
      <c r="O36" s="15" t="n">
        <v>46266</v>
      </c>
      <c r="P36" s="16" t="n">
        <v>75</v>
      </c>
      <c r="Q36" s="4" t="s">
        <v>77</v>
      </c>
      <c r="R36" s="17" t="n">
        <v>1</v>
      </c>
      <c r="S36" s="18" t="n">
        <f aca="false">IF(OR(P36="",R36=""),"",P36*R36)</f>
        <v>75</v>
      </c>
      <c r="T36" s="14" t="n">
        <v>10</v>
      </c>
      <c r="U36" s="14" t="n">
        <v>4</v>
      </c>
      <c r="V36" s="14" t="n">
        <v>0</v>
      </c>
      <c r="W36" s="14" t="n">
        <v>0</v>
      </c>
      <c r="X36" s="18" t="n">
        <f aca="false">IF(S36="","",S36+N(T36)+N(U36)+N(V36)+N(W36))</f>
        <v>89</v>
      </c>
      <c r="Y36" s="4" t="s">
        <v>178</v>
      </c>
      <c r="Z36" s="15"/>
      <c r="AA36" s="14" t="n">
        <v>225</v>
      </c>
      <c r="AB36" s="19"/>
      <c r="AC36" s="4" t="s">
        <v>79</v>
      </c>
      <c r="AD36" s="15"/>
      <c r="AE36" s="14" t="n">
        <v>161</v>
      </c>
      <c r="AF36" s="14" t="n">
        <v>161</v>
      </c>
      <c r="AG36" s="14" t="n">
        <v>0</v>
      </c>
      <c r="AH36" s="18" t="n">
        <f aca="false">IF(AND(AC36="Sold",AE36&lt;&gt;"",AF36&lt;&gt;""),AE36-AF36,"")</f>
        <v>0</v>
      </c>
      <c r="AI36" s="18" t="n">
        <f aca="false">IF(AND(AC36="Sold",AF36&lt;&gt;"",X36&lt;&gt;""),AF36-N(AG36)-X36,"")</f>
        <v>72</v>
      </c>
      <c r="AJ36" s="20" t="n">
        <f aca="false">IF(AND(AI36&lt;&gt;"",N(AE36)&gt;0),AI36/AE36,"")</f>
        <v>0.447204968944099</v>
      </c>
      <c r="AK36" s="20" t="n">
        <f aca="false">IF(AND(AI36&lt;&gt;"",N(X36)&gt;0),AI36/X36,"")</f>
        <v>0.808988764044944</v>
      </c>
      <c r="AL36" s="21" t="str">
        <f aca="false">IF(AND(AC36="Sold",AD36&lt;&gt;"",Z36&lt;&gt;""),AD36-Z36,"")</f>
        <v/>
      </c>
      <c r="AM36" s="20" t="n">
        <f aca="false">IF(AND(AC36="Sold",N(AA36)&gt;0,AE36&lt;&gt;""),1-AE36/AA36,"")</f>
        <v>0.284444444444445</v>
      </c>
      <c r="AN36" s="21" t="str">
        <f aca="true">IF(AND(AC36&lt;&gt;"Sold",AC36&lt;&gt;"",Z36&lt;&gt;""),TODAY()-Z36,"")</f>
        <v/>
      </c>
      <c r="AO36" s="4" t="s">
        <v>80</v>
      </c>
      <c r="AP36" s="4" t="s">
        <v>192</v>
      </c>
    </row>
    <row r="37" customFormat="false" ht="15" hidden="false" customHeight="true" outlineLevel="0" collapsed="false">
      <c r="A37" s="4" t="s">
        <v>203</v>
      </c>
      <c r="B37" s="4" t="s">
        <v>89</v>
      </c>
      <c r="C37" s="4" t="s">
        <v>204</v>
      </c>
      <c r="D37" s="4"/>
      <c r="E37" s="4" t="s">
        <v>148</v>
      </c>
      <c r="F37" s="4" t="s">
        <v>188</v>
      </c>
      <c r="G37" s="4"/>
      <c r="H37" s="4" t="s">
        <v>85</v>
      </c>
      <c r="I37" s="4"/>
      <c r="J37" s="4"/>
      <c r="K37" s="4" t="s">
        <v>143</v>
      </c>
      <c r="L37" s="4" t="s">
        <v>75</v>
      </c>
      <c r="M37" s="4" t="s">
        <v>191</v>
      </c>
      <c r="N37" s="14" t="n">
        <v>2461</v>
      </c>
      <c r="O37" s="15" t="n">
        <v>46266</v>
      </c>
      <c r="P37" s="16" t="n">
        <v>200</v>
      </c>
      <c r="Q37" s="4" t="s">
        <v>77</v>
      </c>
      <c r="R37" s="17" t="n">
        <v>1</v>
      </c>
      <c r="S37" s="18" t="n">
        <f aca="false">IF(OR(P37="",R37=""),"",P37*R37)</f>
        <v>200</v>
      </c>
      <c r="T37" s="14" t="n">
        <v>11</v>
      </c>
      <c r="U37" s="14" t="n">
        <v>5</v>
      </c>
      <c r="V37" s="14" t="n">
        <v>0</v>
      </c>
      <c r="W37" s="14" t="n">
        <v>0</v>
      </c>
      <c r="X37" s="18" t="n">
        <f aca="false">IF(S37="","",S37+N(T37)+N(U37)+N(V37)+N(W37))</f>
        <v>216</v>
      </c>
      <c r="Y37" s="4" t="s">
        <v>178</v>
      </c>
      <c r="Z37" s="15"/>
      <c r="AA37" s="14" t="n">
        <v>468</v>
      </c>
      <c r="AB37" s="19"/>
      <c r="AC37" s="4" t="s">
        <v>79</v>
      </c>
      <c r="AD37" s="15"/>
      <c r="AE37" s="14" t="n">
        <v>334</v>
      </c>
      <c r="AF37" s="14" t="n">
        <v>334</v>
      </c>
      <c r="AG37" s="14" t="n">
        <v>0</v>
      </c>
      <c r="AH37" s="18" t="n">
        <f aca="false">IF(AND(AC37="Sold",AE37&lt;&gt;"",AF37&lt;&gt;""),AE37-AF37,"")</f>
        <v>0</v>
      </c>
      <c r="AI37" s="18" t="n">
        <f aca="false">IF(AND(AC37="Sold",AF37&lt;&gt;"",X37&lt;&gt;""),AF37-N(AG37)-X37,"")</f>
        <v>118</v>
      </c>
      <c r="AJ37" s="20" t="n">
        <f aca="false">IF(AND(AI37&lt;&gt;"",N(AE37)&gt;0),AI37/AE37,"")</f>
        <v>0.353293413173653</v>
      </c>
      <c r="AK37" s="20" t="n">
        <f aca="false">IF(AND(AI37&lt;&gt;"",N(X37)&gt;0),AI37/X37,"")</f>
        <v>0.546296296296296</v>
      </c>
      <c r="AL37" s="21" t="str">
        <f aca="false">IF(AND(AC37="Sold",AD37&lt;&gt;"",Z37&lt;&gt;""),AD37-Z37,"")</f>
        <v/>
      </c>
      <c r="AM37" s="20" t="n">
        <f aca="false">IF(AND(AC37="Sold",N(AA37)&gt;0,AE37&lt;&gt;""),1-AE37/AA37,"")</f>
        <v>0.286324786324786</v>
      </c>
      <c r="AN37" s="21" t="str">
        <f aca="true">IF(AND(AC37&lt;&gt;"Sold",AC37&lt;&gt;"",Z37&lt;&gt;""),TODAY()-Z37,"")</f>
        <v/>
      </c>
      <c r="AO37" s="4" t="s">
        <v>80</v>
      </c>
      <c r="AP37" s="4" t="s">
        <v>192</v>
      </c>
    </row>
    <row r="38" customFormat="false" ht="15" hidden="false" customHeight="true" outlineLevel="0" collapsed="false">
      <c r="A38" s="4" t="s">
        <v>205</v>
      </c>
      <c r="B38" s="4" t="s">
        <v>206</v>
      </c>
      <c r="C38" s="4" t="s">
        <v>207</v>
      </c>
      <c r="D38" s="4"/>
      <c r="E38" s="4" t="s">
        <v>166</v>
      </c>
      <c r="F38" s="4" t="s">
        <v>92</v>
      </c>
      <c r="G38" s="4"/>
      <c r="H38" s="4" t="s">
        <v>73</v>
      </c>
      <c r="I38" s="4"/>
      <c r="J38" s="4"/>
      <c r="K38" s="4" t="s">
        <v>143</v>
      </c>
      <c r="L38" s="4" t="s">
        <v>75</v>
      </c>
      <c r="M38" s="4" t="s">
        <v>191</v>
      </c>
      <c r="N38" s="14" t="n">
        <v>1929</v>
      </c>
      <c r="O38" s="15" t="n">
        <v>46266</v>
      </c>
      <c r="P38" s="16" t="n">
        <v>64</v>
      </c>
      <c r="Q38" s="4" t="s">
        <v>77</v>
      </c>
      <c r="R38" s="17" t="n">
        <v>1</v>
      </c>
      <c r="S38" s="18" t="n">
        <f aca="false">IF(OR(P38="",R38=""),"",P38*R38)</f>
        <v>64</v>
      </c>
      <c r="T38" s="14" t="n">
        <v>9</v>
      </c>
      <c r="U38" s="14" t="n">
        <v>4</v>
      </c>
      <c r="V38" s="14" t="n">
        <v>0</v>
      </c>
      <c r="W38" s="14" t="n">
        <v>0</v>
      </c>
      <c r="X38" s="18" t="n">
        <f aca="false">IF(S38="","",S38+N(T38)+N(U38)+N(V38)+N(W38))</f>
        <v>77</v>
      </c>
      <c r="Y38" s="4" t="s">
        <v>178</v>
      </c>
      <c r="Z38" s="15"/>
      <c r="AA38" s="14" t="n">
        <v>155</v>
      </c>
      <c r="AB38" s="19"/>
      <c r="AC38" s="4" t="s">
        <v>79</v>
      </c>
      <c r="AD38" s="15"/>
      <c r="AE38" s="14" t="n">
        <v>111</v>
      </c>
      <c r="AF38" s="14" t="n">
        <v>111</v>
      </c>
      <c r="AG38" s="14" t="n">
        <v>0</v>
      </c>
      <c r="AH38" s="18" t="n">
        <f aca="false">IF(AND(AC38="Sold",AE38&lt;&gt;"",AF38&lt;&gt;""),AE38-AF38,"")</f>
        <v>0</v>
      </c>
      <c r="AI38" s="18" t="n">
        <f aca="false">IF(AND(AC38="Sold",AF38&lt;&gt;"",X38&lt;&gt;""),AF38-N(AG38)-X38,"")</f>
        <v>34</v>
      </c>
      <c r="AJ38" s="20" t="n">
        <f aca="false">IF(AND(AI38&lt;&gt;"",N(AE38)&gt;0),AI38/AE38,"")</f>
        <v>0.306306306306306</v>
      </c>
      <c r="AK38" s="20" t="n">
        <f aca="false">IF(AND(AI38&lt;&gt;"",N(X38)&gt;0),AI38/X38,"")</f>
        <v>0.441558441558442</v>
      </c>
      <c r="AL38" s="21" t="str">
        <f aca="false">IF(AND(AC38="Sold",AD38&lt;&gt;"",Z38&lt;&gt;""),AD38-Z38,"")</f>
        <v/>
      </c>
      <c r="AM38" s="20" t="n">
        <f aca="false">IF(AND(AC38="Sold",N(AA38)&gt;0,AE38&lt;&gt;""),1-AE38/AA38,"")</f>
        <v>0.283870967741935</v>
      </c>
      <c r="AN38" s="21" t="str">
        <f aca="true">IF(AND(AC38&lt;&gt;"Sold",AC38&lt;&gt;"",Z38&lt;&gt;""),TODAY()-Z38,"")</f>
        <v/>
      </c>
      <c r="AO38" s="4" t="s">
        <v>80</v>
      </c>
      <c r="AP38" s="4" t="s">
        <v>192</v>
      </c>
    </row>
    <row r="39" customFormat="false" ht="15" hidden="false" customHeight="true" outlineLevel="0" collapsed="false">
      <c r="A39" s="4" t="s">
        <v>208</v>
      </c>
      <c r="B39" s="4" t="s">
        <v>140</v>
      </c>
      <c r="C39" s="4" t="s">
        <v>209</v>
      </c>
      <c r="D39" s="4"/>
      <c r="E39" s="4" t="s">
        <v>177</v>
      </c>
      <c r="F39" s="4" t="s">
        <v>72</v>
      </c>
      <c r="G39" s="4"/>
      <c r="H39" s="4" t="s">
        <v>73</v>
      </c>
      <c r="I39" s="4"/>
      <c r="J39" s="4"/>
      <c r="K39" s="4" t="s">
        <v>143</v>
      </c>
      <c r="L39" s="4" t="s">
        <v>75</v>
      </c>
      <c r="M39" s="4" t="s">
        <v>191</v>
      </c>
      <c r="N39" s="14" t="n">
        <v>2155</v>
      </c>
      <c r="O39" s="15" t="n">
        <v>46266</v>
      </c>
      <c r="P39" s="16" t="n">
        <v>163</v>
      </c>
      <c r="Q39" s="4" t="s">
        <v>77</v>
      </c>
      <c r="R39" s="17" t="n">
        <v>1</v>
      </c>
      <c r="S39" s="18" t="n">
        <f aca="false">IF(OR(P39="",R39=""),"",P39*R39)</f>
        <v>163</v>
      </c>
      <c r="T39" s="14" t="n">
        <v>10</v>
      </c>
      <c r="U39" s="14" t="n">
        <v>4</v>
      </c>
      <c r="V39" s="14" t="n">
        <v>0</v>
      </c>
      <c r="W39" s="14" t="n">
        <v>0</v>
      </c>
      <c r="X39" s="18" t="n">
        <f aca="false">IF(S39="","",S39+N(T39)+N(U39)+N(V39)+N(W39))</f>
        <v>177</v>
      </c>
      <c r="Y39" s="4" t="s">
        <v>178</v>
      </c>
      <c r="Z39" s="15"/>
      <c r="AA39" s="14" t="n">
        <v>335</v>
      </c>
      <c r="AB39" s="19"/>
      <c r="AC39" s="4" t="s">
        <v>79</v>
      </c>
      <c r="AD39" s="15"/>
      <c r="AE39" s="14" t="n">
        <v>239</v>
      </c>
      <c r="AF39" s="14" t="n">
        <v>239</v>
      </c>
      <c r="AG39" s="14" t="n">
        <v>0</v>
      </c>
      <c r="AH39" s="18" t="n">
        <f aca="false">IF(AND(AC39="Sold",AE39&lt;&gt;"",AF39&lt;&gt;""),AE39-AF39,"")</f>
        <v>0</v>
      </c>
      <c r="AI39" s="18" t="n">
        <f aca="false">IF(AND(AC39="Sold",AF39&lt;&gt;"",X39&lt;&gt;""),AF39-N(AG39)-X39,"")</f>
        <v>62</v>
      </c>
      <c r="AJ39" s="20" t="n">
        <f aca="false">IF(AND(AI39&lt;&gt;"",N(AE39)&gt;0),AI39/AE39,"")</f>
        <v>0.259414225941423</v>
      </c>
      <c r="AK39" s="20" t="n">
        <f aca="false">IF(AND(AI39&lt;&gt;"",N(X39)&gt;0),AI39/X39,"")</f>
        <v>0.350282485875706</v>
      </c>
      <c r="AL39" s="21" t="str">
        <f aca="false">IF(AND(AC39="Sold",AD39&lt;&gt;"",Z39&lt;&gt;""),AD39-Z39,"")</f>
        <v/>
      </c>
      <c r="AM39" s="20" t="n">
        <f aca="false">IF(AND(AC39="Sold",N(AA39)&gt;0,AE39&lt;&gt;""),1-AE39/AA39,"")</f>
        <v>0.286567164179104</v>
      </c>
      <c r="AN39" s="21" t="str">
        <f aca="true">IF(AND(AC39&lt;&gt;"Sold",AC39&lt;&gt;"",Z39&lt;&gt;""),TODAY()-Z39,"")</f>
        <v/>
      </c>
      <c r="AO39" s="4" t="s">
        <v>80</v>
      </c>
      <c r="AP39" s="4" t="s">
        <v>210</v>
      </c>
    </row>
    <row r="40" customFormat="false" ht="15" hidden="false" customHeight="true" outlineLevel="0" collapsed="false">
      <c r="A40" s="4" t="s">
        <v>211</v>
      </c>
      <c r="B40" s="4" t="s">
        <v>94</v>
      </c>
      <c r="C40" s="4" t="s">
        <v>212</v>
      </c>
      <c r="D40" s="4"/>
      <c r="E40" s="4" t="s">
        <v>136</v>
      </c>
      <c r="F40" s="4" t="s">
        <v>72</v>
      </c>
      <c r="G40" s="4"/>
      <c r="H40" s="4" t="s">
        <v>96</v>
      </c>
      <c r="I40" s="4"/>
      <c r="J40" s="4"/>
      <c r="K40" s="4" t="s">
        <v>143</v>
      </c>
      <c r="L40" s="4" t="s">
        <v>75</v>
      </c>
      <c r="M40" s="4" t="s">
        <v>191</v>
      </c>
      <c r="N40" s="14" t="n">
        <v>2052</v>
      </c>
      <c r="O40" s="15" t="n">
        <v>46266</v>
      </c>
      <c r="P40" s="16" t="n">
        <v>106</v>
      </c>
      <c r="Q40" s="4" t="s">
        <v>77</v>
      </c>
      <c r="R40" s="17" t="n">
        <v>1</v>
      </c>
      <c r="S40" s="18" t="n">
        <f aca="false">IF(OR(P40="",R40=""),"",P40*R40)</f>
        <v>106</v>
      </c>
      <c r="T40" s="14" t="n">
        <v>9</v>
      </c>
      <c r="U40" s="14" t="n">
        <v>4</v>
      </c>
      <c r="V40" s="14" t="n">
        <v>0</v>
      </c>
      <c r="W40" s="14" t="n">
        <v>0</v>
      </c>
      <c r="X40" s="18" t="n">
        <f aca="false">IF(S40="","",S40+N(T40)+N(U40)+N(V40)+N(W40))</f>
        <v>119</v>
      </c>
      <c r="Y40" s="4" t="s">
        <v>178</v>
      </c>
      <c r="Z40" s="15"/>
      <c r="AA40" s="14" t="n">
        <v>250</v>
      </c>
      <c r="AB40" s="19"/>
      <c r="AC40" s="4" t="s">
        <v>79</v>
      </c>
      <c r="AD40" s="15"/>
      <c r="AE40" s="14" t="n">
        <v>179</v>
      </c>
      <c r="AF40" s="14" t="n">
        <v>179</v>
      </c>
      <c r="AG40" s="14" t="n">
        <v>0</v>
      </c>
      <c r="AH40" s="18" t="n">
        <f aca="false">IF(AND(AC40="Sold",AE40&lt;&gt;"",AF40&lt;&gt;""),AE40-AF40,"")</f>
        <v>0</v>
      </c>
      <c r="AI40" s="18" t="n">
        <f aca="false">IF(AND(AC40="Sold",AF40&lt;&gt;"",X40&lt;&gt;""),AF40-N(AG40)-X40,"")</f>
        <v>60</v>
      </c>
      <c r="AJ40" s="20" t="n">
        <f aca="false">IF(AND(AI40&lt;&gt;"",N(AE40)&gt;0),AI40/AE40,"")</f>
        <v>0.335195530726257</v>
      </c>
      <c r="AK40" s="20" t="n">
        <f aca="false">IF(AND(AI40&lt;&gt;"",N(X40)&gt;0),AI40/X40,"")</f>
        <v>0.504201680672269</v>
      </c>
      <c r="AL40" s="21" t="str">
        <f aca="false">IF(AND(AC40="Sold",AD40&lt;&gt;"",Z40&lt;&gt;""),AD40-Z40,"")</f>
        <v/>
      </c>
      <c r="AM40" s="20" t="n">
        <f aca="false">IF(AND(AC40="Sold",N(AA40)&gt;0,AE40&lt;&gt;""),1-AE40/AA40,"")</f>
        <v>0.284</v>
      </c>
      <c r="AN40" s="21" t="str">
        <f aca="true">IF(AND(AC40&lt;&gt;"Sold",AC40&lt;&gt;"",Z40&lt;&gt;""),TODAY()-Z40,"")</f>
        <v/>
      </c>
      <c r="AO40" s="4" t="s">
        <v>80</v>
      </c>
      <c r="AP40" s="4" t="s">
        <v>192</v>
      </c>
    </row>
    <row r="41" customFormat="false" ht="15" hidden="false" customHeight="true" outlineLevel="0" collapsed="false">
      <c r="A41" s="4" t="s">
        <v>213</v>
      </c>
      <c r="B41" s="4" t="s">
        <v>99</v>
      </c>
      <c r="C41" s="4" t="s">
        <v>214</v>
      </c>
      <c r="D41" s="4"/>
      <c r="E41" s="4" t="s">
        <v>174</v>
      </c>
      <c r="F41" s="4" t="s">
        <v>72</v>
      </c>
      <c r="G41" s="4"/>
      <c r="H41" s="4" t="s">
        <v>73</v>
      </c>
      <c r="I41" s="4"/>
      <c r="J41" s="4"/>
      <c r="K41" s="4" t="s">
        <v>143</v>
      </c>
      <c r="L41" s="4" t="s">
        <v>75</v>
      </c>
      <c r="M41" s="4" t="s">
        <v>191</v>
      </c>
      <c r="N41" s="14" t="n">
        <v>2264</v>
      </c>
      <c r="O41" s="15" t="n">
        <v>46266</v>
      </c>
      <c r="P41" s="16" t="n">
        <v>129</v>
      </c>
      <c r="Q41" s="4" t="s">
        <v>77</v>
      </c>
      <c r="R41" s="17" t="n">
        <v>1</v>
      </c>
      <c r="S41" s="18" t="n">
        <f aca="false">IF(OR(P41="",R41=""),"",P41*R41)</f>
        <v>129</v>
      </c>
      <c r="T41" s="14" t="n">
        <v>10</v>
      </c>
      <c r="U41" s="14" t="n">
        <v>4</v>
      </c>
      <c r="V41" s="14" t="n">
        <v>0</v>
      </c>
      <c r="W41" s="14" t="n">
        <v>0</v>
      </c>
      <c r="X41" s="18" t="n">
        <f aca="false">IF(S41="","",S41+N(T41)+N(U41)+N(V41)+N(W41))</f>
        <v>143</v>
      </c>
      <c r="Y41" s="4" t="s">
        <v>178</v>
      </c>
      <c r="Z41" s="15"/>
      <c r="AA41" s="14" t="n">
        <v>332</v>
      </c>
      <c r="AB41" s="19"/>
      <c r="AC41" s="4" t="s">
        <v>79</v>
      </c>
      <c r="AD41" s="15"/>
      <c r="AE41" s="14" t="n">
        <v>237</v>
      </c>
      <c r="AF41" s="14" t="n">
        <v>237</v>
      </c>
      <c r="AG41" s="14" t="n">
        <v>0</v>
      </c>
      <c r="AH41" s="18" t="n">
        <f aca="false">IF(AND(AC41="Sold",AE41&lt;&gt;"",AF41&lt;&gt;""),AE41-AF41,"")</f>
        <v>0</v>
      </c>
      <c r="AI41" s="18" t="n">
        <f aca="false">IF(AND(AC41="Sold",AF41&lt;&gt;"",X41&lt;&gt;""),AF41-N(AG41)-X41,"")</f>
        <v>94</v>
      </c>
      <c r="AJ41" s="20" t="n">
        <f aca="false">IF(AND(AI41&lt;&gt;"",N(AE41)&gt;0),AI41/AE41,"")</f>
        <v>0.39662447257384</v>
      </c>
      <c r="AK41" s="20" t="n">
        <f aca="false">IF(AND(AI41&lt;&gt;"",N(X41)&gt;0),AI41/X41,"")</f>
        <v>0.657342657342657</v>
      </c>
      <c r="AL41" s="21" t="str">
        <f aca="false">IF(AND(AC41="Sold",AD41&lt;&gt;"",Z41&lt;&gt;""),AD41-Z41,"")</f>
        <v/>
      </c>
      <c r="AM41" s="20" t="n">
        <f aca="false">IF(AND(AC41="Sold",N(AA41)&gt;0,AE41&lt;&gt;""),1-AE41/AA41,"")</f>
        <v>0.286144578313253</v>
      </c>
      <c r="AN41" s="21" t="str">
        <f aca="true">IF(AND(AC41&lt;&gt;"Sold",AC41&lt;&gt;"",Z41&lt;&gt;""),TODAY()-Z41,"")</f>
        <v/>
      </c>
      <c r="AO41" s="4" t="s">
        <v>80</v>
      </c>
      <c r="AP41" s="4" t="s">
        <v>192</v>
      </c>
    </row>
    <row r="42" customFormat="false" ht="15" hidden="false" customHeight="true" outlineLevel="0" collapsed="false">
      <c r="A42" s="4" t="s">
        <v>215</v>
      </c>
      <c r="B42" s="4" t="s">
        <v>140</v>
      </c>
      <c r="C42" s="4" t="s">
        <v>216</v>
      </c>
      <c r="D42" s="4"/>
      <c r="E42" s="4" t="s">
        <v>182</v>
      </c>
      <c r="F42" s="4" t="s">
        <v>156</v>
      </c>
      <c r="G42" s="4"/>
      <c r="H42" s="4" t="s">
        <v>73</v>
      </c>
      <c r="I42" s="4"/>
      <c r="J42" s="4"/>
      <c r="K42" s="4" t="s">
        <v>143</v>
      </c>
      <c r="L42" s="4" t="s">
        <v>75</v>
      </c>
      <c r="M42" s="4" t="s">
        <v>191</v>
      </c>
      <c r="N42" s="14" t="n">
        <v>2098</v>
      </c>
      <c r="O42" s="15" t="n">
        <v>46266</v>
      </c>
      <c r="P42" s="16" t="n">
        <v>143</v>
      </c>
      <c r="Q42" s="4" t="s">
        <v>77</v>
      </c>
      <c r="R42" s="17" t="n">
        <v>1</v>
      </c>
      <c r="S42" s="18" t="n">
        <f aca="false">IF(OR(P42="",R42=""),"",P42*R42)</f>
        <v>143</v>
      </c>
      <c r="T42" s="14" t="n">
        <v>9</v>
      </c>
      <c r="U42" s="14" t="n">
        <v>4</v>
      </c>
      <c r="V42" s="14" t="n">
        <v>0</v>
      </c>
      <c r="W42" s="14" t="n">
        <v>0</v>
      </c>
      <c r="X42" s="18" t="n">
        <f aca="false">IF(S42="","",S42+N(T42)+N(U42)+N(V42)+N(W42))</f>
        <v>156</v>
      </c>
      <c r="Y42" s="4" t="s">
        <v>178</v>
      </c>
      <c r="Z42" s="15"/>
      <c r="AA42" s="14" t="n">
        <v>307</v>
      </c>
      <c r="AB42" s="19"/>
      <c r="AC42" s="4" t="s">
        <v>79</v>
      </c>
      <c r="AD42" s="15"/>
      <c r="AE42" s="14" t="n">
        <v>219</v>
      </c>
      <c r="AF42" s="14" t="n">
        <v>219</v>
      </c>
      <c r="AG42" s="14" t="n">
        <v>0</v>
      </c>
      <c r="AH42" s="18" t="n">
        <f aca="false">IF(AND(AC42="Sold",AE42&lt;&gt;"",AF42&lt;&gt;""),AE42-AF42,"")</f>
        <v>0</v>
      </c>
      <c r="AI42" s="18" t="n">
        <f aca="false">IF(AND(AC42="Sold",AF42&lt;&gt;"",X42&lt;&gt;""),AF42-N(AG42)-X42,"")</f>
        <v>63</v>
      </c>
      <c r="AJ42" s="20" t="n">
        <f aca="false">IF(AND(AI42&lt;&gt;"",N(AE42)&gt;0),AI42/AE42,"")</f>
        <v>0.287671232876712</v>
      </c>
      <c r="AK42" s="20" t="n">
        <f aca="false">IF(AND(AI42&lt;&gt;"",N(X42)&gt;0),AI42/X42,"")</f>
        <v>0.403846153846154</v>
      </c>
      <c r="AL42" s="21" t="str">
        <f aca="false">IF(AND(AC42="Sold",AD42&lt;&gt;"",Z42&lt;&gt;""),AD42-Z42,"")</f>
        <v/>
      </c>
      <c r="AM42" s="20" t="n">
        <f aca="false">IF(AND(AC42="Sold",N(AA42)&gt;0,AE42&lt;&gt;""),1-AE42/AA42,"")</f>
        <v>0.286644951140065</v>
      </c>
      <c r="AN42" s="21" t="str">
        <f aca="true">IF(AND(AC42&lt;&gt;"Sold",AC42&lt;&gt;"",Z42&lt;&gt;""),TODAY()-Z42,"")</f>
        <v/>
      </c>
      <c r="AO42" s="4" t="s">
        <v>80</v>
      </c>
      <c r="AP42" s="4" t="s">
        <v>192</v>
      </c>
    </row>
    <row r="43" customFormat="false" ht="15" hidden="false" customHeight="true" outlineLevel="0" collapsed="false">
      <c r="A43" s="4" t="s">
        <v>217</v>
      </c>
      <c r="B43" s="4" t="s">
        <v>218</v>
      </c>
      <c r="C43" s="4" t="s">
        <v>219</v>
      </c>
      <c r="D43" s="4"/>
      <c r="E43" s="4" t="s">
        <v>120</v>
      </c>
      <c r="F43" s="4" t="s">
        <v>72</v>
      </c>
      <c r="G43" s="4"/>
      <c r="H43" s="4" t="s">
        <v>73</v>
      </c>
      <c r="I43" s="4"/>
      <c r="J43" s="4"/>
      <c r="K43" s="4" t="s">
        <v>143</v>
      </c>
      <c r="L43" s="4" t="s">
        <v>75</v>
      </c>
      <c r="M43" s="4" t="s">
        <v>191</v>
      </c>
      <c r="N43" s="14" t="n">
        <v>2183</v>
      </c>
      <c r="O43" s="15" t="n">
        <v>46266</v>
      </c>
      <c r="P43" s="16" t="n">
        <v>97</v>
      </c>
      <c r="Q43" s="4" t="s">
        <v>77</v>
      </c>
      <c r="R43" s="17" t="n">
        <v>1</v>
      </c>
      <c r="S43" s="18" t="n">
        <f aca="false">IF(OR(P43="",R43=""),"",P43*R43)</f>
        <v>97</v>
      </c>
      <c r="T43" s="14" t="n">
        <v>10</v>
      </c>
      <c r="U43" s="14" t="n">
        <v>4</v>
      </c>
      <c r="V43" s="14" t="n">
        <v>0</v>
      </c>
      <c r="W43" s="14" t="n">
        <v>0</v>
      </c>
      <c r="X43" s="18" t="n">
        <f aca="false">IF(S43="","",S43+N(T43)+N(U43)+N(V43)+N(W43))</f>
        <v>111</v>
      </c>
      <c r="Y43" s="4" t="s">
        <v>178</v>
      </c>
      <c r="Z43" s="15"/>
      <c r="AA43" s="14" t="n">
        <v>279</v>
      </c>
      <c r="AB43" s="19"/>
      <c r="AC43" s="4" t="s">
        <v>79</v>
      </c>
      <c r="AD43" s="15"/>
      <c r="AE43" s="14" t="n">
        <v>199</v>
      </c>
      <c r="AF43" s="14" t="n">
        <v>199</v>
      </c>
      <c r="AG43" s="14" t="n">
        <v>0</v>
      </c>
      <c r="AH43" s="18" t="n">
        <f aca="false">IF(AND(AC43="Sold",AE43&lt;&gt;"",AF43&lt;&gt;""),AE43-AF43,"")</f>
        <v>0</v>
      </c>
      <c r="AI43" s="18" t="n">
        <f aca="false">IF(AND(AC43="Sold",AF43&lt;&gt;"",X43&lt;&gt;""),AF43-N(AG43)-X43,"")</f>
        <v>88</v>
      </c>
      <c r="AJ43" s="20" t="n">
        <f aca="false">IF(AND(AI43&lt;&gt;"",N(AE43)&gt;0),AI43/AE43,"")</f>
        <v>0.442211055276382</v>
      </c>
      <c r="AK43" s="20" t="n">
        <f aca="false">IF(AND(AI43&lt;&gt;"",N(X43)&gt;0),AI43/X43,"")</f>
        <v>0.792792792792793</v>
      </c>
      <c r="AL43" s="21" t="str">
        <f aca="false">IF(AND(AC43="Sold",AD43&lt;&gt;"",Z43&lt;&gt;""),AD43-Z43,"")</f>
        <v/>
      </c>
      <c r="AM43" s="20" t="n">
        <f aca="false">IF(AND(AC43="Sold",N(AA43)&gt;0,AE43&lt;&gt;""),1-AE43/AA43,"")</f>
        <v>0.28673835125448</v>
      </c>
      <c r="AN43" s="21" t="str">
        <f aca="true">IF(AND(AC43&lt;&gt;"Sold",AC43&lt;&gt;"",Z43&lt;&gt;""),TODAY()-Z43,"")</f>
        <v/>
      </c>
      <c r="AO43" s="4" t="s">
        <v>80</v>
      </c>
      <c r="AP43" s="4" t="s">
        <v>192</v>
      </c>
    </row>
    <row r="44" customFormat="false" ht="15" hidden="false" customHeight="true" outlineLevel="0" collapsed="false">
      <c r="A44" s="4" t="s">
        <v>220</v>
      </c>
      <c r="B44" s="4" t="s">
        <v>218</v>
      </c>
      <c r="C44" s="4" t="s">
        <v>221</v>
      </c>
      <c r="D44" s="4"/>
      <c r="E44" s="4" t="s">
        <v>110</v>
      </c>
      <c r="F44" s="4" t="s">
        <v>72</v>
      </c>
      <c r="G44" s="4"/>
      <c r="H44" s="4" t="s">
        <v>96</v>
      </c>
      <c r="I44" s="4"/>
      <c r="J44" s="4"/>
      <c r="K44" s="4" t="s">
        <v>143</v>
      </c>
      <c r="L44" s="4" t="s">
        <v>75</v>
      </c>
      <c r="M44" s="4" t="s">
        <v>191</v>
      </c>
      <c r="N44" s="14" t="n">
        <v>1995</v>
      </c>
      <c r="O44" s="15" t="n">
        <v>46266</v>
      </c>
      <c r="P44" s="16" t="n">
        <v>118</v>
      </c>
      <c r="Q44" s="4" t="s">
        <v>77</v>
      </c>
      <c r="R44" s="17" t="n">
        <v>1</v>
      </c>
      <c r="S44" s="18" t="n">
        <f aca="false">IF(OR(P44="",R44=""),"",P44*R44)</f>
        <v>118</v>
      </c>
      <c r="T44" s="14" t="n">
        <v>9</v>
      </c>
      <c r="U44" s="14" t="n">
        <v>4</v>
      </c>
      <c r="V44" s="14" t="n">
        <v>0</v>
      </c>
      <c r="W44" s="14" t="n">
        <v>0</v>
      </c>
      <c r="X44" s="18" t="n">
        <f aca="false">IF(S44="","",S44+N(T44)+N(U44)+N(V44)+N(W44))</f>
        <v>131</v>
      </c>
      <c r="Y44" s="4" t="s">
        <v>178</v>
      </c>
      <c r="Z44" s="15"/>
      <c r="AA44" s="14" t="n">
        <v>284</v>
      </c>
      <c r="AB44" s="19"/>
      <c r="AC44" s="4" t="s">
        <v>79</v>
      </c>
      <c r="AD44" s="15"/>
      <c r="AE44" s="14" t="n">
        <v>203</v>
      </c>
      <c r="AF44" s="14" t="n">
        <v>203</v>
      </c>
      <c r="AG44" s="14" t="n">
        <v>0</v>
      </c>
      <c r="AH44" s="18" t="n">
        <f aca="false">IF(AND(AC44="Sold",AE44&lt;&gt;"",AF44&lt;&gt;""),AE44-AF44,"")</f>
        <v>0</v>
      </c>
      <c r="AI44" s="18" t="n">
        <f aca="false">IF(AND(AC44="Sold",AF44&lt;&gt;"",X44&lt;&gt;""),AF44-N(AG44)-X44,"")</f>
        <v>72</v>
      </c>
      <c r="AJ44" s="20" t="n">
        <f aca="false">IF(AND(AI44&lt;&gt;"",N(AE44)&gt;0),AI44/AE44,"")</f>
        <v>0.354679802955665</v>
      </c>
      <c r="AK44" s="20" t="n">
        <f aca="false">IF(AND(AI44&lt;&gt;"",N(X44)&gt;0),AI44/X44,"")</f>
        <v>0.549618320610687</v>
      </c>
      <c r="AL44" s="21" t="str">
        <f aca="false">IF(AND(AC44="Sold",AD44&lt;&gt;"",Z44&lt;&gt;""),AD44-Z44,"")</f>
        <v/>
      </c>
      <c r="AM44" s="20" t="n">
        <f aca="false">IF(AND(AC44="Sold",N(AA44)&gt;0,AE44&lt;&gt;""),1-AE44/AA44,"")</f>
        <v>0.285211267605634</v>
      </c>
      <c r="AN44" s="21" t="str">
        <f aca="true">IF(AND(AC44&lt;&gt;"Sold",AC44&lt;&gt;"",Z44&lt;&gt;""),TODAY()-Z44,"")</f>
        <v/>
      </c>
      <c r="AO44" s="4" t="s">
        <v>80</v>
      </c>
      <c r="AP44" s="4" t="s">
        <v>192</v>
      </c>
    </row>
    <row r="45" customFormat="false" ht="15" hidden="false" customHeight="true" outlineLevel="0" collapsed="false">
      <c r="A45" s="4" t="s">
        <v>222</v>
      </c>
      <c r="B45" s="4" t="s">
        <v>218</v>
      </c>
      <c r="C45" s="4" t="s">
        <v>223</v>
      </c>
      <c r="D45" s="4"/>
      <c r="E45" s="4" t="s">
        <v>84</v>
      </c>
      <c r="F45" s="4" t="s">
        <v>167</v>
      </c>
      <c r="G45" s="4"/>
      <c r="H45" s="4" t="s">
        <v>73</v>
      </c>
      <c r="I45" s="4"/>
      <c r="J45" s="4"/>
      <c r="K45" s="4" t="s">
        <v>143</v>
      </c>
      <c r="L45" s="4" t="s">
        <v>75</v>
      </c>
      <c r="M45" s="4" t="s">
        <v>191</v>
      </c>
      <c r="N45" s="14" t="n">
        <v>1967</v>
      </c>
      <c r="O45" s="15" t="n">
        <v>46266</v>
      </c>
      <c r="P45" s="16" t="n">
        <v>69</v>
      </c>
      <c r="Q45" s="4" t="s">
        <v>77</v>
      </c>
      <c r="R45" s="17" t="n">
        <v>1</v>
      </c>
      <c r="S45" s="18" t="n">
        <f aca="false">IF(OR(P45="",R45=""),"",P45*R45)</f>
        <v>69</v>
      </c>
      <c r="T45" s="14" t="n">
        <v>9</v>
      </c>
      <c r="U45" s="14" t="n">
        <v>4</v>
      </c>
      <c r="V45" s="14" t="n">
        <v>0</v>
      </c>
      <c r="W45" s="14" t="n">
        <v>0</v>
      </c>
      <c r="X45" s="18" t="n">
        <f aca="false">IF(S45="","",S45+N(T45)+N(U45)+N(V45)+N(W45))</f>
        <v>82</v>
      </c>
      <c r="Y45" s="4" t="s">
        <v>178</v>
      </c>
      <c r="Z45" s="15"/>
      <c r="AA45" s="14" t="n">
        <v>165</v>
      </c>
      <c r="AB45" s="19"/>
      <c r="AC45" s="4" t="s">
        <v>79</v>
      </c>
      <c r="AD45" s="15"/>
      <c r="AE45" s="14" t="n">
        <v>118</v>
      </c>
      <c r="AF45" s="14" t="n">
        <v>118</v>
      </c>
      <c r="AG45" s="14" t="n">
        <v>0</v>
      </c>
      <c r="AH45" s="18" t="n">
        <f aca="false">IF(AND(AC45="Sold",AE45&lt;&gt;"",AF45&lt;&gt;""),AE45-AF45,"")</f>
        <v>0</v>
      </c>
      <c r="AI45" s="18" t="n">
        <f aca="false">IF(AND(AC45="Sold",AF45&lt;&gt;"",X45&lt;&gt;""),AF45-N(AG45)-X45,"")</f>
        <v>36</v>
      </c>
      <c r="AJ45" s="20" t="n">
        <f aca="false">IF(AND(AI45&lt;&gt;"",N(AE45)&gt;0),AI45/AE45,"")</f>
        <v>0.305084745762712</v>
      </c>
      <c r="AK45" s="20" t="n">
        <f aca="false">IF(AND(AI45&lt;&gt;"",N(X45)&gt;0),AI45/X45,"")</f>
        <v>0.439024390243902</v>
      </c>
      <c r="AL45" s="21" t="str">
        <f aca="false">IF(AND(AC45="Sold",AD45&lt;&gt;"",Z45&lt;&gt;""),AD45-Z45,"")</f>
        <v/>
      </c>
      <c r="AM45" s="20" t="n">
        <f aca="false">IF(AND(AC45="Sold",N(AA45)&gt;0,AE45&lt;&gt;""),1-AE45/AA45,"")</f>
        <v>0.284848484848485</v>
      </c>
      <c r="AN45" s="21" t="str">
        <f aca="true">IF(AND(AC45&lt;&gt;"Sold",AC45&lt;&gt;"",Z45&lt;&gt;""),TODAY()-Z45,"")</f>
        <v/>
      </c>
      <c r="AO45" s="4" t="s">
        <v>80</v>
      </c>
      <c r="AP45" s="4" t="s">
        <v>192</v>
      </c>
    </row>
    <row r="46" customFormat="false" ht="15" hidden="false" customHeight="true" outlineLevel="0" collapsed="false">
      <c r="A46" s="4" t="s">
        <v>224</v>
      </c>
      <c r="B46" s="4" t="s">
        <v>218</v>
      </c>
      <c r="C46" s="4" t="s">
        <v>225</v>
      </c>
      <c r="D46" s="4"/>
      <c r="E46" s="4" t="s">
        <v>226</v>
      </c>
      <c r="F46" s="4" t="s">
        <v>72</v>
      </c>
      <c r="G46" s="4"/>
      <c r="H46" s="4" t="s">
        <v>73</v>
      </c>
      <c r="I46" s="4"/>
      <c r="J46" s="4"/>
      <c r="K46" s="4" t="s">
        <v>143</v>
      </c>
      <c r="L46" s="4" t="s">
        <v>75</v>
      </c>
      <c r="M46" s="4" t="s">
        <v>191</v>
      </c>
      <c r="N46" s="14" t="n">
        <v>2438</v>
      </c>
      <c r="O46" s="15" t="n">
        <v>46266</v>
      </c>
      <c r="P46" s="16" t="n">
        <v>94</v>
      </c>
      <c r="Q46" s="4" t="s">
        <v>77</v>
      </c>
      <c r="R46" s="17" t="n">
        <v>1</v>
      </c>
      <c r="S46" s="18" t="n">
        <f aca="false">IF(OR(P46="",R46=""),"",P46*R46)</f>
        <v>94</v>
      </c>
      <c r="T46" s="14" t="n">
        <v>11</v>
      </c>
      <c r="U46" s="14" t="n">
        <v>5</v>
      </c>
      <c r="V46" s="14" t="n">
        <v>0</v>
      </c>
      <c r="W46" s="14" t="n">
        <v>0</v>
      </c>
      <c r="X46" s="18" t="n">
        <f aca="false">IF(S46="","",S46+N(T46)+N(U46)+N(V46)+N(W46))</f>
        <v>110</v>
      </c>
      <c r="Y46" s="4" t="s">
        <v>178</v>
      </c>
      <c r="Z46" s="15"/>
      <c r="AA46" s="14" t="n">
        <v>208</v>
      </c>
      <c r="AB46" s="19"/>
      <c r="AC46" s="4" t="s">
        <v>79</v>
      </c>
      <c r="AD46" s="15"/>
      <c r="AE46" s="14" t="n">
        <v>149</v>
      </c>
      <c r="AF46" s="14" t="n">
        <v>149</v>
      </c>
      <c r="AG46" s="14" t="n">
        <v>0</v>
      </c>
      <c r="AH46" s="18" t="n">
        <f aca="false">IF(AND(AC46="Sold",AE46&lt;&gt;"",AF46&lt;&gt;""),AE46-AF46,"")</f>
        <v>0</v>
      </c>
      <c r="AI46" s="18" t="n">
        <f aca="false">IF(AND(AC46="Sold",AF46&lt;&gt;"",X46&lt;&gt;""),AF46-N(AG46)-X46,"")</f>
        <v>39</v>
      </c>
      <c r="AJ46" s="20" t="n">
        <f aca="false">IF(AND(AI46&lt;&gt;"",N(AE46)&gt;0),AI46/AE46,"")</f>
        <v>0.261744966442953</v>
      </c>
      <c r="AK46" s="20" t="n">
        <f aca="false">IF(AND(AI46&lt;&gt;"",N(X46)&gt;0),AI46/X46,"")</f>
        <v>0.354545454545455</v>
      </c>
      <c r="AL46" s="21" t="str">
        <f aca="false">IF(AND(AC46="Sold",AD46&lt;&gt;"",Z46&lt;&gt;""),AD46-Z46,"")</f>
        <v/>
      </c>
      <c r="AM46" s="20" t="n">
        <f aca="false">IF(AND(AC46="Sold",N(AA46)&gt;0,AE46&lt;&gt;""),1-AE46/AA46,"")</f>
        <v>0.283653846153846</v>
      </c>
      <c r="AN46" s="21" t="str">
        <f aca="true">IF(AND(AC46&lt;&gt;"Sold",AC46&lt;&gt;"",Z46&lt;&gt;""),TODAY()-Z46,"")</f>
        <v/>
      </c>
      <c r="AO46" s="4" t="s">
        <v>80</v>
      </c>
      <c r="AP46" s="4" t="s">
        <v>192</v>
      </c>
    </row>
    <row r="47" customFormat="false" ht="15" hidden="false" customHeight="true" outlineLevel="0" collapsed="false">
      <c r="A47" s="4" t="s">
        <v>227</v>
      </c>
      <c r="B47" s="4" t="s">
        <v>218</v>
      </c>
      <c r="C47" s="4" t="s">
        <v>228</v>
      </c>
      <c r="D47" s="4"/>
      <c r="E47" s="4" t="s">
        <v>100</v>
      </c>
      <c r="F47" s="4" t="s">
        <v>72</v>
      </c>
      <c r="G47" s="4"/>
      <c r="H47" s="4" t="s">
        <v>73</v>
      </c>
      <c r="I47" s="4"/>
      <c r="J47" s="4"/>
      <c r="K47" s="4" t="s">
        <v>143</v>
      </c>
      <c r="L47" s="4" t="s">
        <v>75</v>
      </c>
      <c r="M47" s="4" t="s">
        <v>191</v>
      </c>
      <c r="N47" s="14" t="n">
        <v>1961</v>
      </c>
      <c r="O47" s="15" t="n">
        <v>46266</v>
      </c>
      <c r="P47" s="16" t="n">
        <v>94</v>
      </c>
      <c r="Q47" s="4" t="s">
        <v>77</v>
      </c>
      <c r="R47" s="17" t="n">
        <v>1</v>
      </c>
      <c r="S47" s="18" t="n">
        <f aca="false">IF(OR(P47="",R47=""),"",P47*R47)</f>
        <v>94</v>
      </c>
      <c r="T47" s="14" t="n">
        <v>9</v>
      </c>
      <c r="U47" s="14" t="n">
        <v>4</v>
      </c>
      <c r="V47" s="14" t="n">
        <v>0</v>
      </c>
      <c r="W47" s="14" t="n">
        <v>0</v>
      </c>
      <c r="X47" s="18" t="n">
        <f aca="false">IF(S47="","",S47+N(T47)+N(U47)+N(V47)+N(W47))</f>
        <v>107</v>
      </c>
      <c r="Y47" s="4" t="s">
        <v>178</v>
      </c>
      <c r="Z47" s="15"/>
      <c r="AA47" s="14" t="n">
        <v>224</v>
      </c>
      <c r="AB47" s="19"/>
      <c r="AC47" s="4" t="s">
        <v>79</v>
      </c>
      <c r="AD47" s="15"/>
      <c r="AE47" s="14" t="n">
        <v>160</v>
      </c>
      <c r="AF47" s="14" t="n">
        <v>160</v>
      </c>
      <c r="AG47" s="14" t="n">
        <v>0</v>
      </c>
      <c r="AH47" s="18" t="n">
        <f aca="false">IF(AND(AC47="Sold",AE47&lt;&gt;"",AF47&lt;&gt;""),AE47-AF47,"")</f>
        <v>0</v>
      </c>
      <c r="AI47" s="18" t="n">
        <f aca="false">IF(AND(AC47="Sold",AF47&lt;&gt;"",X47&lt;&gt;""),AF47-N(AG47)-X47,"")</f>
        <v>53</v>
      </c>
      <c r="AJ47" s="20" t="n">
        <f aca="false">IF(AND(AI47&lt;&gt;"",N(AE47)&gt;0),AI47/AE47,"")</f>
        <v>0.33125</v>
      </c>
      <c r="AK47" s="20" t="n">
        <f aca="false">IF(AND(AI47&lt;&gt;"",N(X47)&gt;0),AI47/X47,"")</f>
        <v>0.495327102803738</v>
      </c>
      <c r="AL47" s="21" t="str">
        <f aca="false">IF(AND(AC47="Sold",AD47&lt;&gt;"",Z47&lt;&gt;""),AD47-Z47,"")</f>
        <v/>
      </c>
      <c r="AM47" s="20" t="n">
        <f aca="false">IF(AND(AC47="Sold",N(AA47)&gt;0,AE47&lt;&gt;""),1-AE47/AA47,"")</f>
        <v>0.285714285714286</v>
      </c>
      <c r="AN47" s="21" t="str">
        <f aca="true">IF(AND(AC47&lt;&gt;"Sold",AC47&lt;&gt;"",Z47&lt;&gt;""),TODAY()-Z47,"")</f>
        <v/>
      </c>
      <c r="AO47" s="4" t="s">
        <v>80</v>
      </c>
      <c r="AP47" s="4" t="s">
        <v>192</v>
      </c>
    </row>
    <row r="48" customFormat="false" ht="15" hidden="false" customHeight="true" outlineLevel="0" collapsed="false">
      <c r="A48" s="4" t="s">
        <v>229</v>
      </c>
      <c r="B48" s="4" t="s">
        <v>230</v>
      </c>
      <c r="C48" s="4" t="s">
        <v>231</v>
      </c>
      <c r="D48" s="4"/>
      <c r="E48" s="4" t="s">
        <v>232</v>
      </c>
      <c r="F48" s="4" t="s">
        <v>72</v>
      </c>
      <c r="G48" s="4"/>
      <c r="H48" s="4" t="s">
        <v>73</v>
      </c>
      <c r="I48" s="4"/>
      <c r="J48" s="4"/>
      <c r="K48" s="4" t="s">
        <v>143</v>
      </c>
      <c r="L48" s="4" t="s">
        <v>75</v>
      </c>
      <c r="M48" s="4" t="s">
        <v>191</v>
      </c>
      <c r="N48" s="14" t="n">
        <v>1871</v>
      </c>
      <c r="O48" s="15" t="n">
        <v>46266</v>
      </c>
      <c r="P48" s="16" t="n">
        <v>69</v>
      </c>
      <c r="Q48" s="4" t="s">
        <v>77</v>
      </c>
      <c r="R48" s="17" t="n">
        <v>1</v>
      </c>
      <c r="S48" s="18" t="n">
        <f aca="false">IF(OR(P48="",R48=""),"",P48*R48)</f>
        <v>69</v>
      </c>
      <c r="T48" s="14" t="n">
        <v>8</v>
      </c>
      <c r="U48" s="14" t="n">
        <v>3</v>
      </c>
      <c r="V48" s="14" t="n">
        <v>0</v>
      </c>
      <c r="W48" s="14" t="n">
        <v>0</v>
      </c>
      <c r="X48" s="18" t="n">
        <f aca="false">IF(S48="","",S48+N(T48)+N(U48)+N(V48)+N(W48))</f>
        <v>80</v>
      </c>
      <c r="Y48" s="4" t="s">
        <v>178</v>
      </c>
      <c r="Z48" s="15"/>
      <c r="AA48" s="14" t="n">
        <v>187</v>
      </c>
      <c r="AB48" s="19"/>
      <c r="AC48" s="4" t="s">
        <v>79</v>
      </c>
      <c r="AD48" s="15"/>
      <c r="AE48" s="14" t="n">
        <v>133</v>
      </c>
      <c r="AF48" s="14" t="n">
        <v>133</v>
      </c>
      <c r="AG48" s="14" t="n">
        <v>0</v>
      </c>
      <c r="AH48" s="18" t="n">
        <f aca="false">IF(AND(AC48="Sold",AE48&lt;&gt;"",AF48&lt;&gt;""),AE48-AF48,"")</f>
        <v>0</v>
      </c>
      <c r="AI48" s="18" t="n">
        <f aca="false">IF(AND(AC48="Sold",AF48&lt;&gt;"",X48&lt;&gt;""),AF48-N(AG48)-X48,"")</f>
        <v>53</v>
      </c>
      <c r="AJ48" s="20" t="n">
        <f aca="false">IF(AND(AI48&lt;&gt;"",N(AE48)&gt;0),AI48/AE48,"")</f>
        <v>0.398496240601504</v>
      </c>
      <c r="AK48" s="20" t="n">
        <f aca="false">IF(AND(AI48&lt;&gt;"",N(X48)&gt;0),AI48/X48,"")</f>
        <v>0.6625</v>
      </c>
      <c r="AL48" s="21" t="str">
        <f aca="false">IF(AND(AC48="Sold",AD48&lt;&gt;"",Z48&lt;&gt;""),AD48-Z48,"")</f>
        <v/>
      </c>
      <c r="AM48" s="20" t="n">
        <f aca="false">IF(AND(AC48="Sold",N(AA48)&gt;0,AE48&lt;&gt;""),1-AE48/AA48,"")</f>
        <v>0.288770053475936</v>
      </c>
      <c r="AN48" s="21" t="str">
        <f aca="true">IF(AND(AC48&lt;&gt;"Sold",AC48&lt;&gt;"",Z48&lt;&gt;""),TODAY()-Z48,"")</f>
        <v/>
      </c>
      <c r="AO48" s="4" t="s">
        <v>80</v>
      </c>
      <c r="AP48" s="4" t="s">
        <v>192</v>
      </c>
    </row>
    <row r="49" customFormat="false" ht="15" hidden="false" customHeight="true" outlineLevel="0" collapsed="false">
      <c r="A49" s="4" t="s">
        <v>233</v>
      </c>
      <c r="B49" s="4" t="s">
        <v>234</v>
      </c>
      <c r="C49" s="4" t="s">
        <v>235</v>
      </c>
      <c r="D49" s="4"/>
      <c r="E49" s="4" t="s">
        <v>112</v>
      </c>
      <c r="F49" s="4" t="s">
        <v>72</v>
      </c>
      <c r="G49" s="4"/>
      <c r="H49" s="4" t="s">
        <v>85</v>
      </c>
      <c r="I49" s="4"/>
      <c r="J49" s="4"/>
      <c r="K49" s="4" t="s">
        <v>143</v>
      </c>
      <c r="L49" s="4" t="s">
        <v>75</v>
      </c>
      <c r="M49" s="4" t="s">
        <v>191</v>
      </c>
      <c r="N49" s="14" t="n">
        <v>2336</v>
      </c>
      <c r="O49" s="15" t="n">
        <v>46266</v>
      </c>
      <c r="P49" s="16" t="n">
        <v>43</v>
      </c>
      <c r="Q49" s="4" t="s">
        <v>77</v>
      </c>
      <c r="R49" s="17" t="n">
        <v>1</v>
      </c>
      <c r="S49" s="18" t="n">
        <f aca="false">IF(OR(P49="",R49=""),"",P49*R49)</f>
        <v>43</v>
      </c>
      <c r="T49" s="14" t="n">
        <v>11</v>
      </c>
      <c r="U49" s="14" t="n">
        <v>4</v>
      </c>
      <c r="V49" s="14" t="n">
        <v>0</v>
      </c>
      <c r="W49" s="14" t="n">
        <v>0</v>
      </c>
      <c r="X49" s="18" t="n">
        <f aca="false">IF(S49="","",S49+N(T49)+N(U49)+N(V49)+N(W49))</f>
        <v>58</v>
      </c>
      <c r="Y49" s="4" t="s">
        <v>178</v>
      </c>
      <c r="Z49" s="15"/>
      <c r="AA49" s="14" t="n">
        <v>113</v>
      </c>
      <c r="AB49" s="19"/>
      <c r="AC49" s="4" t="s">
        <v>79</v>
      </c>
      <c r="AD49" s="15"/>
      <c r="AE49" s="14" t="n">
        <v>82</v>
      </c>
      <c r="AF49" s="14" t="n">
        <v>82</v>
      </c>
      <c r="AG49" s="14" t="n">
        <v>0</v>
      </c>
      <c r="AH49" s="18" t="n">
        <f aca="false">IF(AND(AC49="Sold",AE49&lt;&gt;"",AF49&lt;&gt;""),AE49-AF49,"")</f>
        <v>0</v>
      </c>
      <c r="AI49" s="18" t="n">
        <f aca="false">IF(AND(AC49="Sold",AF49&lt;&gt;"",X49&lt;&gt;""),AF49-N(AG49)-X49,"")</f>
        <v>24</v>
      </c>
      <c r="AJ49" s="20" t="n">
        <f aca="false">IF(AND(AI49&lt;&gt;"",N(AE49)&gt;0),AI49/AE49,"")</f>
        <v>0.292682926829268</v>
      </c>
      <c r="AK49" s="20" t="n">
        <f aca="false">IF(AND(AI49&lt;&gt;"",N(X49)&gt;0),AI49/X49,"")</f>
        <v>0.413793103448276</v>
      </c>
      <c r="AL49" s="21" t="str">
        <f aca="false">IF(AND(AC49="Sold",AD49&lt;&gt;"",Z49&lt;&gt;""),AD49-Z49,"")</f>
        <v/>
      </c>
      <c r="AM49" s="20" t="n">
        <f aca="false">IF(AND(AC49="Sold",N(AA49)&gt;0,AE49&lt;&gt;""),1-AE49/AA49,"")</f>
        <v>0.274336283185841</v>
      </c>
      <c r="AN49" s="21" t="str">
        <f aca="true">IF(AND(AC49&lt;&gt;"Sold",AC49&lt;&gt;"",Z49&lt;&gt;""),TODAY()-Z49,"")</f>
        <v/>
      </c>
      <c r="AO49" s="4" t="s">
        <v>80</v>
      </c>
      <c r="AP49" s="4" t="s">
        <v>192</v>
      </c>
    </row>
    <row r="50" customFormat="false" ht="15" hidden="false" customHeight="true" outlineLevel="0" collapsed="false">
      <c r="A50" s="4" t="s">
        <v>236</v>
      </c>
      <c r="B50" s="4" t="s">
        <v>237</v>
      </c>
      <c r="C50" s="4" t="s">
        <v>238</v>
      </c>
      <c r="D50" s="4"/>
      <c r="E50" s="4" t="s">
        <v>239</v>
      </c>
      <c r="F50" s="4" t="s">
        <v>117</v>
      </c>
      <c r="G50" s="4"/>
      <c r="H50" s="4" t="s">
        <v>73</v>
      </c>
      <c r="I50" s="4"/>
      <c r="J50" s="4"/>
      <c r="K50" s="4" t="s">
        <v>143</v>
      </c>
      <c r="L50" s="4" t="s">
        <v>75</v>
      </c>
      <c r="M50" s="4" t="s">
        <v>191</v>
      </c>
      <c r="N50" s="14" t="n">
        <v>2032</v>
      </c>
      <c r="O50" s="15" t="n">
        <v>46266</v>
      </c>
      <c r="P50" s="16" t="n">
        <v>56</v>
      </c>
      <c r="Q50" s="4" t="s">
        <v>77</v>
      </c>
      <c r="R50" s="17" t="n">
        <v>1</v>
      </c>
      <c r="S50" s="18" t="n">
        <f aca="false">IF(OR(P50="",R50=""),"",P50*R50)</f>
        <v>56</v>
      </c>
      <c r="T50" s="14" t="n">
        <v>9</v>
      </c>
      <c r="U50" s="14" t="n">
        <v>4</v>
      </c>
      <c r="V50" s="14" t="n">
        <v>0</v>
      </c>
      <c r="W50" s="14" t="n">
        <v>0</v>
      </c>
      <c r="X50" s="18" t="n">
        <f aca="false">IF(S50="","",S50+N(T50)+N(U50)+N(V50)+N(W50))</f>
        <v>69</v>
      </c>
      <c r="Y50" s="4" t="s">
        <v>178</v>
      </c>
      <c r="Z50" s="15"/>
      <c r="AA50" s="14" t="n">
        <v>174</v>
      </c>
      <c r="AB50" s="19"/>
      <c r="AC50" s="4" t="s">
        <v>240</v>
      </c>
      <c r="AD50" s="15"/>
      <c r="AE50" s="14"/>
      <c r="AF50" s="14"/>
      <c r="AG50" s="14"/>
      <c r="AH50" s="18" t="str">
        <f aca="false">IF(AND(AC50="Sold",AE50&lt;&gt;"",AF50&lt;&gt;""),AE50-AF50,"")</f>
        <v/>
      </c>
      <c r="AI50" s="18" t="str">
        <f aca="false">IF(AND(AC50="Sold",AF50&lt;&gt;"",X50&lt;&gt;""),AF50-N(AG50)-X50,"")</f>
        <v/>
      </c>
      <c r="AJ50" s="20" t="str">
        <f aca="false">IF(AND(AI50&lt;&gt;"",N(AE50)&gt;0),AI50/AE50,"")</f>
        <v/>
      </c>
      <c r="AK50" s="20" t="str">
        <f aca="false">IF(AND(AI50&lt;&gt;"",N(X50)&gt;0),AI50/X50,"")</f>
        <v/>
      </c>
      <c r="AL50" s="21" t="str">
        <f aca="false">IF(AND(AC50="Sold",AD50&lt;&gt;"",Z50&lt;&gt;""),AD50-Z50,"")</f>
        <v/>
      </c>
      <c r="AM50" s="20" t="str">
        <f aca="false">IF(AND(AC50="Sold",N(AA50)&gt;0,AE50&lt;&gt;""),1-AE50/AA50,"")</f>
        <v/>
      </c>
      <c r="AN50" s="21" t="str">
        <f aca="true">IF(AND(AC50&lt;&gt;"Sold",AC50&lt;&gt;"",Z50&lt;&gt;""),TODAY()-Z50,"")</f>
        <v/>
      </c>
      <c r="AO50" s="4" t="s">
        <v>80</v>
      </c>
      <c r="AP50" s="4" t="s">
        <v>241</v>
      </c>
    </row>
    <row r="51" customFormat="false" ht="15" hidden="false" customHeight="true" outlineLevel="0" collapsed="false">
      <c r="A51" s="4" t="s">
        <v>242</v>
      </c>
      <c r="B51" s="4" t="s">
        <v>243</v>
      </c>
      <c r="C51" s="4" t="s">
        <v>244</v>
      </c>
      <c r="D51" s="4"/>
      <c r="E51" s="4" t="s">
        <v>245</v>
      </c>
      <c r="F51" s="4" t="s">
        <v>72</v>
      </c>
      <c r="G51" s="4"/>
      <c r="H51" s="4" t="s">
        <v>73</v>
      </c>
      <c r="I51" s="4"/>
      <c r="J51" s="4"/>
      <c r="K51" s="4" t="s">
        <v>143</v>
      </c>
      <c r="L51" s="4" t="s">
        <v>75</v>
      </c>
      <c r="M51" s="4" t="s">
        <v>191</v>
      </c>
      <c r="N51" s="14" t="n">
        <v>2028</v>
      </c>
      <c r="O51" s="15" t="n">
        <v>46266</v>
      </c>
      <c r="P51" s="16" t="n">
        <v>47</v>
      </c>
      <c r="Q51" s="4" t="s">
        <v>77</v>
      </c>
      <c r="R51" s="17" t="n">
        <v>1</v>
      </c>
      <c r="S51" s="18" t="n">
        <f aca="false">IF(OR(P51="",R51=""),"",P51*R51)</f>
        <v>47</v>
      </c>
      <c r="T51" s="14" t="n">
        <v>9</v>
      </c>
      <c r="U51" s="14" t="n">
        <v>4</v>
      </c>
      <c r="V51" s="14" t="n">
        <v>0</v>
      </c>
      <c r="W51" s="14" t="n">
        <v>0</v>
      </c>
      <c r="X51" s="18" t="n">
        <f aca="false">IF(S51="","",S51+N(T51)+N(U51)+N(V51)+N(W51))</f>
        <v>60</v>
      </c>
      <c r="Y51" s="4" t="s">
        <v>178</v>
      </c>
      <c r="Z51" s="15"/>
      <c r="AA51" s="14" t="n">
        <v>130</v>
      </c>
      <c r="AB51" s="19"/>
      <c r="AC51" s="4" t="s">
        <v>240</v>
      </c>
      <c r="AD51" s="15"/>
      <c r="AE51" s="14"/>
      <c r="AF51" s="14"/>
      <c r="AG51" s="14"/>
      <c r="AH51" s="18" t="str">
        <f aca="false">IF(AND(AC51="Sold",AE51&lt;&gt;"",AF51&lt;&gt;""),AE51-AF51,"")</f>
        <v/>
      </c>
      <c r="AI51" s="18" t="str">
        <f aca="false">IF(AND(AC51="Sold",AF51&lt;&gt;"",X51&lt;&gt;""),AF51-N(AG51)-X51,"")</f>
        <v/>
      </c>
      <c r="AJ51" s="20" t="str">
        <f aca="false">IF(AND(AI51&lt;&gt;"",N(AE51)&gt;0),AI51/AE51,"")</f>
        <v/>
      </c>
      <c r="AK51" s="20" t="str">
        <f aca="false">IF(AND(AI51&lt;&gt;"",N(X51)&gt;0),AI51/X51,"")</f>
        <v/>
      </c>
      <c r="AL51" s="21" t="str">
        <f aca="false">IF(AND(AC51="Sold",AD51&lt;&gt;"",Z51&lt;&gt;""),AD51-Z51,"")</f>
        <v/>
      </c>
      <c r="AM51" s="20" t="str">
        <f aca="false">IF(AND(AC51="Sold",N(AA51)&gt;0,AE51&lt;&gt;""),1-AE51/AA51,"")</f>
        <v/>
      </c>
      <c r="AN51" s="21" t="str">
        <f aca="true">IF(AND(AC51&lt;&gt;"Sold",AC51&lt;&gt;"",Z51&lt;&gt;""),TODAY()-Z51,"")</f>
        <v/>
      </c>
      <c r="AO51" s="4" t="s">
        <v>80</v>
      </c>
      <c r="AP51" s="4" t="s">
        <v>241</v>
      </c>
    </row>
    <row r="52" customFormat="false" ht="15" hidden="false" customHeight="true" outlineLevel="0" collapsed="false">
      <c r="A52" s="4" t="s">
        <v>246</v>
      </c>
      <c r="B52" s="4" t="s">
        <v>247</v>
      </c>
      <c r="C52" s="4" t="s">
        <v>248</v>
      </c>
      <c r="D52" s="4"/>
      <c r="E52" s="4" t="s">
        <v>249</v>
      </c>
      <c r="F52" s="4" t="s">
        <v>72</v>
      </c>
      <c r="G52" s="4"/>
      <c r="H52" s="4" t="s">
        <v>96</v>
      </c>
      <c r="I52" s="4"/>
      <c r="J52" s="4"/>
      <c r="K52" s="4" t="s">
        <v>143</v>
      </c>
      <c r="L52" s="4" t="s">
        <v>75</v>
      </c>
      <c r="M52" s="4" t="s">
        <v>191</v>
      </c>
      <c r="N52" s="14" t="n">
        <v>2399</v>
      </c>
      <c r="O52" s="15" t="n">
        <v>46266</v>
      </c>
      <c r="P52" s="16" t="n">
        <v>66</v>
      </c>
      <c r="Q52" s="4" t="s">
        <v>77</v>
      </c>
      <c r="R52" s="17" t="n">
        <v>1</v>
      </c>
      <c r="S52" s="18" t="n">
        <f aca="false">IF(OR(P52="",R52=""),"",P52*R52)</f>
        <v>66</v>
      </c>
      <c r="T52" s="14" t="n">
        <v>11</v>
      </c>
      <c r="U52" s="14" t="n">
        <v>4</v>
      </c>
      <c r="V52" s="14" t="n">
        <v>0</v>
      </c>
      <c r="W52" s="14" t="n">
        <v>0</v>
      </c>
      <c r="X52" s="18" t="n">
        <f aca="false">IF(S52="","",S52+N(T52)+N(U52)+N(V52)+N(W52))</f>
        <v>81</v>
      </c>
      <c r="Y52" s="4" t="s">
        <v>178</v>
      </c>
      <c r="Z52" s="15"/>
      <c r="AA52" s="14" t="n">
        <v>166</v>
      </c>
      <c r="AB52" s="19"/>
      <c r="AC52" s="4" t="s">
        <v>240</v>
      </c>
      <c r="AD52" s="15"/>
      <c r="AE52" s="14"/>
      <c r="AF52" s="14"/>
      <c r="AG52" s="14"/>
      <c r="AH52" s="18" t="str">
        <f aca="false">IF(AND(AC52="Sold",AE52&lt;&gt;"",AF52&lt;&gt;""),AE52-AF52,"")</f>
        <v/>
      </c>
      <c r="AI52" s="18" t="str">
        <f aca="false">IF(AND(AC52="Sold",AF52&lt;&gt;"",X52&lt;&gt;""),AF52-N(AG52)-X52,"")</f>
        <v/>
      </c>
      <c r="AJ52" s="20" t="str">
        <f aca="false">IF(AND(AI52&lt;&gt;"",N(AE52)&gt;0),AI52/AE52,"")</f>
        <v/>
      </c>
      <c r="AK52" s="20" t="str">
        <f aca="false">IF(AND(AI52&lt;&gt;"",N(X52)&gt;0),AI52/X52,"")</f>
        <v/>
      </c>
      <c r="AL52" s="21" t="str">
        <f aca="false">IF(AND(AC52="Sold",AD52&lt;&gt;"",Z52&lt;&gt;""),AD52-Z52,"")</f>
        <v/>
      </c>
      <c r="AM52" s="20" t="str">
        <f aca="false">IF(AND(AC52="Sold",N(AA52)&gt;0,AE52&lt;&gt;""),1-AE52/AA52,"")</f>
        <v/>
      </c>
      <c r="AN52" s="21" t="str">
        <f aca="true">IF(AND(AC52&lt;&gt;"Sold",AC52&lt;&gt;"",Z52&lt;&gt;""),TODAY()-Z52,"")</f>
        <v/>
      </c>
      <c r="AO52" s="4" t="s">
        <v>80</v>
      </c>
      <c r="AP52" s="4" t="s">
        <v>241</v>
      </c>
    </row>
    <row r="53" customFormat="false" ht="15" hidden="false" customHeight="true" outlineLevel="0" collapsed="false">
      <c r="A53" s="4" t="s">
        <v>250</v>
      </c>
      <c r="B53" s="4" t="s">
        <v>190</v>
      </c>
      <c r="C53" s="4" t="s">
        <v>251</v>
      </c>
      <c r="D53" s="4"/>
      <c r="E53" s="4" t="s">
        <v>252</v>
      </c>
      <c r="F53" s="4" t="s">
        <v>252</v>
      </c>
      <c r="G53" s="4"/>
      <c r="H53" s="4" t="s">
        <v>73</v>
      </c>
      <c r="I53" s="4"/>
      <c r="J53" s="4"/>
      <c r="K53" s="4" t="s">
        <v>253</v>
      </c>
      <c r="L53" s="4" t="s">
        <v>254</v>
      </c>
      <c r="M53" s="4" t="s">
        <v>255</v>
      </c>
      <c r="N53" s="14" t="n">
        <v>411</v>
      </c>
      <c r="O53" s="15"/>
      <c r="P53" s="16" t="n">
        <v>34</v>
      </c>
      <c r="Q53" s="4" t="s">
        <v>77</v>
      </c>
      <c r="R53" s="17" t="n">
        <v>1</v>
      </c>
      <c r="S53" s="18" t="n">
        <f aca="false">IF(OR(P53="",R53=""),"",P53*R53)</f>
        <v>34</v>
      </c>
      <c r="T53" s="14" t="n">
        <v>5</v>
      </c>
      <c r="U53" s="14" t="n">
        <v>0</v>
      </c>
      <c r="V53" s="14" t="n">
        <v>0</v>
      </c>
      <c r="W53" s="14" t="n">
        <v>0</v>
      </c>
      <c r="X53" s="18" t="n">
        <f aca="false">IF(S53="","",S53+N(T53)+N(U53)+N(V53)+N(W53))</f>
        <v>39</v>
      </c>
      <c r="Y53" s="4" t="s">
        <v>78</v>
      </c>
      <c r="Z53" s="15"/>
      <c r="AA53" s="14" t="n">
        <v>149</v>
      </c>
      <c r="AB53" s="19"/>
      <c r="AC53" s="4" t="s">
        <v>79</v>
      </c>
      <c r="AD53" s="15"/>
      <c r="AE53" s="14" t="n">
        <v>149</v>
      </c>
      <c r="AF53" s="14" t="n">
        <v>149</v>
      </c>
      <c r="AG53" s="14" t="n">
        <v>0</v>
      </c>
      <c r="AH53" s="18" t="n">
        <f aca="false">IF(AND(AC53="Sold",AE53&lt;&gt;"",AF53&lt;&gt;""),AE53-AF53,"")</f>
        <v>0</v>
      </c>
      <c r="AI53" s="18" t="n">
        <f aca="false">IF(AND(AC53="Sold",AF53&lt;&gt;"",X53&lt;&gt;""),AF53-N(AG53)-X53,"")</f>
        <v>110</v>
      </c>
      <c r="AJ53" s="20" t="n">
        <f aca="false">IF(AND(AI53&lt;&gt;"",N(AE53)&gt;0),AI53/AE53,"")</f>
        <v>0.738255033557047</v>
      </c>
      <c r="AK53" s="20" t="n">
        <f aca="false">IF(AND(AI53&lt;&gt;"",N(X53)&gt;0),AI53/X53,"")</f>
        <v>2.82051282051282</v>
      </c>
      <c r="AL53" s="21" t="str">
        <f aca="false">IF(AND(AC53="Sold",AD53&lt;&gt;"",Z53&lt;&gt;""),AD53-Z53,"")</f>
        <v/>
      </c>
      <c r="AM53" s="20" t="n">
        <f aca="false">IF(AND(AC53="Sold",N(AA53)&gt;0,AE53&lt;&gt;""),1-AE53/AA53,"")</f>
        <v>0</v>
      </c>
      <c r="AN53" s="21" t="str">
        <f aca="true">IF(AND(AC53&lt;&gt;"Sold",AC53&lt;&gt;"",Z53&lt;&gt;""),TODAY()-Z53,"")</f>
        <v/>
      </c>
      <c r="AO53" s="4" t="s">
        <v>86</v>
      </c>
      <c r="AP53" s="4" t="s">
        <v>256</v>
      </c>
    </row>
    <row r="54" customFormat="false" ht="15" hidden="false" customHeight="true" outlineLevel="0" collapsed="false">
      <c r="A54" s="4" t="s">
        <v>257</v>
      </c>
      <c r="B54" s="4" t="s">
        <v>218</v>
      </c>
      <c r="C54" s="4" t="s">
        <v>258</v>
      </c>
      <c r="D54" s="4"/>
      <c r="E54" s="4"/>
      <c r="F54" s="4" t="s">
        <v>72</v>
      </c>
      <c r="G54" s="4"/>
      <c r="H54" s="4" t="s">
        <v>73</v>
      </c>
      <c r="I54" s="4"/>
      <c r="J54" s="4"/>
      <c r="K54" s="4" t="s">
        <v>253</v>
      </c>
      <c r="L54" s="4" t="s">
        <v>254</v>
      </c>
      <c r="M54" s="4" t="s">
        <v>255</v>
      </c>
      <c r="N54" s="14" t="n">
        <v>336</v>
      </c>
      <c r="O54" s="15"/>
      <c r="P54" s="16" t="n">
        <v>28</v>
      </c>
      <c r="Q54" s="4" t="s">
        <v>77</v>
      </c>
      <c r="R54" s="17" t="n">
        <v>1</v>
      </c>
      <c r="S54" s="18" t="n">
        <f aca="false">IF(OR(P54="",R54=""),"",P54*R54)</f>
        <v>28</v>
      </c>
      <c r="T54" s="14" t="n">
        <v>4</v>
      </c>
      <c r="U54" s="14" t="n">
        <v>0</v>
      </c>
      <c r="V54" s="14" t="n">
        <v>0</v>
      </c>
      <c r="W54" s="14" t="n">
        <v>0</v>
      </c>
      <c r="X54" s="18" t="n">
        <f aca="false">IF(S54="","",S54+N(T54)+N(U54)+N(V54)+N(W54))</f>
        <v>32</v>
      </c>
      <c r="Y54" s="4" t="s">
        <v>78</v>
      </c>
      <c r="Z54" s="15"/>
      <c r="AA54" s="14" t="n">
        <v>54</v>
      </c>
      <c r="AB54" s="19"/>
      <c r="AC54" s="4" t="s">
        <v>79</v>
      </c>
      <c r="AD54" s="15"/>
      <c r="AE54" s="14" t="n">
        <v>54</v>
      </c>
      <c r="AF54" s="14" t="n">
        <v>54</v>
      </c>
      <c r="AG54" s="14" t="n">
        <v>0</v>
      </c>
      <c r="AH54" s="18" t="n">
        <f aca="false">IF(AND(AC54="Sold",AE54&lt;&gt;"",AF54&lt;&gt;""),AE54-AF54,"")</f>
        <v>0</v>
      </c>
      <c r="AI54" s="18" t="n">
        <f aca="false">IF(AND(AC54="Sold",AF54&lt;&gt;"",X54&lt;&gt;""),AF54-N(AG54)-X54,"")</f>
        <v>22</v>
      </c>
      <c r="AJ54" s="20" t="n">
        <f aca="false">IF(AND(AI54&lt;&gt;"",N(AE54)&gt;0),AI54/AE54,"")</f>
        <v>0.407407407407407</v>
      </c>
      <c r="AK54" s="20" t="n">
        <f aca="false">IF(AND(AI54&lt;&gt;"",N(X54)&gt;0),AI54/X54,"")</f>
        <v>0.6875</v>
      </c>
      <c r="AL54" s="21" t="str">
        <f aca="false">IF(AND(AC54="Sold",AD54&lt;&gt;"",Z54&lt;&gt;""),AD54-Z54,"")</f>
        <v/>
      </c>
      <c r="AM54" s="20" t="n">
        <f aca="false">IF(AND(AC54="Sold",N(AA54)&gt;0,AE54&lt;&gt;""),1-AE54/AA54,"")</f>
        <v>0</v>
      </c>
      <c r="AN54" s="21" t="str">
        <f aca="true">IF(AND(AC54&lt;&gt;"Sold",AC54&lt;&gt;"",Z54&lt;&gt;""),TODAY()-Z54,"")</f>
        <v/>
      </c>
      <c r="AO54" s="4" t="s">
        <v>86</v>
      </c>
      <c r="AP54" s="4" t="s">
        <v>256</v>
      </c>
    </row>
    <row r="55" customFormat="false" ht="15" hidden="false" customHeight="true" outlineLevel="0" collapsed="false">
      <c r="A55" s="4" t="s">
        <v>259</v>
      </c>
      <c r="B55" s="4" t="s">
        <v>140</v>
      </c>
      <c r="C55" s="4" t="s">
        <v>260</v>
      </c>
      <c r="D55" s="4"/>
      <c r="E55" s="4"/>
      <c r="F55" s="4" t="s">
        <v>261</v>
      </c>
      <c r="G55" s="4"/>
      <c r="H55" s="4" t="s">
        <v>73</v>
      </c>
      <c r="I55" s="4"/>
      <c r="J55" s="4"/>
      <c r="K55" s="4" t="s">
        <v>253</v>
      </c>
      <c r="L55" s="4" t="s">
        <v>254</v>
      </c>
      <c r="M55" s="4" t="s">
        <v>255</v>
      </c>
      <c r="N55" s="14" t="n">
        <v>398</v>
      </c>
      <c r="O55" s="15"/>
      <c r="P55" s="16" t="n">
        <v>33</v>
      </c>
      <c r="Q55" s="4" t="s">
        <v>77</v>
      </c>
      <c r="R55" s="17" t="n">
        <v>1</v>
      </c>
      <c r="S55" s="18" t="n">
        <f aca="false">IF(OR(P55="",R55=""),"",P55*R55)</f>
        <v>33</v>
      </c>
      <c r="T55" s="14" t="n">
        <v>4</v>
      </c>
      <c r="U55" s="14" t="n">
        <v>0</v>
      </c>
      <c r="V55" s="14" t="n">
        <v>0</v>
      </c>
      <c r="W55" s="14" t="n">
        <v>0</v>
      </c>
      <c r="X55" s="18" t="n">
        <f aca="false">IF(S55="","",S55+N(T55)+N(U55)+N(V55)+N(W55))</f>
        <v>37</v>
      </c>
      <c r="Y55" s="4" t="s">
        <v>78</v>
      </c>
      <c r="Z55" s="15"/>
      <c r="AA55" s="14" t="n">
        <v>111</v>
      </c>
      <c r="AB55" s="19"/>
      <c r="AC55" s="4" t="s">
        <v>79</v>
      </c>
      <c r="AD55" s="15"/>
      <c r="AE55" s="14" t="n">
        <v>111</v>
      </c>
      <c r="AF55" s="14" t="n">
        <v>111</v>
      </c>
      <c r="AG55" s="14" t="n">
        <v>0</v>
      </c>
      <c r="AH55" s="18" t="n">
        <f aca="false">IF(AND(AC55="Sold",AE55&lt;&gt;"",AF55&lt;&gt;""),AE55-AF55,"")</f>
        <v>0</v>
      </c>
      <c r="AI55" s="18" t="n">
        <f aca="false">IF(AND(AC55="Sold",AF55&lt;&gt;"",X55&lt;&gt;""),AF55-N(AG55)-X55,"")</f>
        <v>74</v>
      </c>
      <c r="AJ55" s="20" t="n">
        <f aca="false">IF(AND(AI55&lt;&gt;"",N(AE55)&gt;0),AI55/AE55,"")</f>
        <v>0.666666666666667</v>
      </c>
      <c r="AK55" s="20" t="n">
        <f aca="false">IF(AND(AI55&lt;&gt;"",N(X55)&gt;0),AI55/X55,"")</f>
        <v>2</v>
      </c>
      <c r="AL55" s="21" t="str">
        <f aca="false">IF(AND(AC55="Sold",AD55&lt;&gt;"",Z55&lt;&gt;""),AD55-Z55,"")</f>
        <v/>
      </c>
      <c r="AM55" s="20" t="n">
        <f aca="false">IF(AND(AC55="Sold",N(AA55)&gt;0,AE55&lt;&gt;""),1-AE55/AA55,"")</f>
        <v>0</v>
      </c>
      <c r="AN55" s="21" t="str">
        <f aca="true">IF(AND(AC55&lt;&gt;"Sold",AC55&lt;&gt;"",Z55&lt;&gt;""),TODAY()-Z55,"")</f>
        <v/>
      </c>
      <c r="AO55" s="4" t="s">
        <v>86</v>
      </c>
      <c r="AP55" s="4" t="s">
        <v>256</v>
      </c>
    </row>
    <row r="56" customFormat="false" ht="15" hidden="false" customHeight="true" outlineLevel="0" collapsed="false">
      <c r="A56" s="4" t="s">
        <v>262</v>
      </c>
      <c r="B56" s="4" t="s">
        <v>190</v>
      </c>
      <c r="C56" s="4" t="s">
        <v>263</v>
      </c>
      <c r="D56" s="4"/>
      <c r="E56" s="4" t="s">
        <v>142</v>
      </c>
      <c r="F56" s="4" t="s">
        <v>264</v>
      </c>
      <c r="G56" s="4"/>
      <c r="H56" s="4" t="s">
        <v>73</v>
      </c>
      <c r="I56" s="4"/>
      <c r="J56" s="4"/>
      <c r="K56" s="4" t="s">
        <v>253</v>
      </c>
      <c r="L56" s="4" t="s">
        <v>254</v>
      </c>
      <c r="M56" s="4" t="s">
        <v>255</v>
      </c>
      <c r="N56" s="14" t="n">
        <v>388</v>
      </c>
      <c r="O56" s="15"/>
      <c r="P56" s="16" t="n">
        <v>32</v>
      </c>
      <c r="Q56" s="4" t="s">
        <v>77</v>
      </c>
      <c r="R56" s="17" t="n">
        <v>1</v>
      </c>
      <c r="S56" s="18" t="n">
        <f aca="false">IF(OR(P56="",R56=""),"",P56*R56)</f>
        <v>32</v>
      </c>
      <c r="T56" s="14" t="n">
        <v>4</v>
      </c>
      <c r="U56" s="14" t="n">
        <v>0</v>
      </c>
      <c r="V56" s="14" t="n">
        <v>0</v>
      </c>
      <c r="W56" s="14" t="n">
        <v>0</v>
      </c>
      <c r="X56" s="18" t="n">
        <f aca="false">IF(S56="","",S56+N(T56)+N(U56)+N(V56)+N(W56))</f>
        <v>36</v>
      </c>
      <c r="Y56" s="4" t="s">
        <v>78</v>
      </c>
      <c r="Z56" s="15"/>
      <c r="AA56" s="14" t="n">
        <v>54</v>
      </c>
      <c r="AB56" s="19"/>
      <c r="AC56" s="4" t="s">
        <v>79</v>
      </c>
      <c r="AD56" s="15"/>
      <c r="AE56" s="14" t="n">
        <v>54</v>
      </c>
      <c r="AF56" s="14" t="n">
        <v>54</v>
      </c>
      <c r="AG56" s="14" t="n">
        <v>0</v>
      </c>
      <c r="AH56" s="18" t="n">
        <f aca="false">IF(AND(AC56="Sold",AE56&lt;&gt;"",AF56&lt;&gt;""),AE56-AF56,"")</f>
        <v>0</v>
      </c>
      <c r="AI56" s="18" t="n">
        <f aca="false">IF(AND(AC56="Sold",AF56&lt;&gt;"",X56&lt;&gt;""),AF56-N(AG56)-X56,"")</f>
        <v>18</v>
      </c>
      <c r="AJ56" s="20" t="n">
        <f aca="false">IF(AND(AI56&lt;&gt;"",N(AE56)&gt;0),AI56/AE56,"")</f>
        <v>0.333333333333333</v>
      </c>
      <c r="AK56" s="20" t="n">
        <f aca="false">IF(AND(AI56&lt;&gt;"",N(X56)&gt;0),AI56/X56,"")</f>
        <v>0.5</v>
      </c>
      <c r="AL56" s="21" t="str">
        <f aca="false">IF(AND(AC56="Sold",AD56&lt;&gt;"",Z56&lt;&gt;""),AD56-Z56,"")</f>
        <v/>
      </c>
      <c r="AM56" s="20" t="n">
        <f aca="false">IF(AND(AC56="Sold",N(AA56)&gt;0,AE56&lt;&gt;""),1-AE56/AA56,"")</f>
        <v>0</v>
      </c>
      <c r="AN56" s="21" t="str">
        <f aca="true">IF(AND(AC56&lt;&gt;"Sold",AC56&lt;&gt;"",Z56&lt;&gt;""),TODAY()-Z56,"")</f>
        <v/>
      </c>
      <c r="AO56" s="4" t="s">
        <v>86</v>
      </c>
      <c r="AP56" s="4" t="s">
        <v>256</v>
      </c>
    </row>
    <row r="57" customFormat="false" ht="15" hidden="false" customHeight="true" outlineLevel="0" collapsed="false">
      <c r="A57" s="4" t="s">
        <v>265</v>
      </c>
      <c r="B57" s="4" t="s">
        <v>140</v>
      </c>
      <c r="C57" s="4" t="s">
        <v>266</v>
      </c>
      <c r="D57" s="4"/>
      <c r="E57" s="4" t="s">
        <v>267</v>
      </c>
      <c r="F57" s="4"/>
      <c r="G57" s="4"/>
      <c r="H57" s="4" t="s">
        <v>73</v>
      </c>
      <c r="I57" s="4"/>
      <c r="J57" s="4"/>
      <c r="K57" s="4" t="s">
        <v>253</v>
      </c>
      <c r="L57" s="4" t="s">
        <v>254</v>
      </c>
      <c r="M57" s="4" t="s">
        <v>255</v>
      </c>
      <c r="N57" s="14" t="n">
        <v>345</v>
      </c>
      <c r="O57" s="15"/>
      <c r="P57" s="16" t="n">
        <v>29</v>
      </c>
      <c r="Q57" s="4" t="s">
        <v>77</v>
      </c>
      <c r="R57" s="17" t="n">
        <v>1</v>
      </c>
      <c r="S57" s="18" t="n">
        <f aca="false">IF(OR(P57="",R57=""),"",P57*R57)</f>
        <v>29</v>
      </c>
      <c r="T57" s="14" t="n">
        <v>4</v>
      </c>
      <c r="U57" s="14" t="n">
        <v>0</v>
      </c>
      <c r="V57" s="14" t="n">
        <v>0</v>
      </c>
      <c r="W57" s="14" t="n">
        <v>0</v>
      </c>
      <c r="X57" s="18" t="n">
        <f aca="false">IF(S57="","",S57+N(T57)+N(U57)+N(V57)+N(W57))</f>
        <v>33</v>
      </c>
      <c r="Y57" s="4" t="s">
        <v>78</v>
      </c>
      <c r="Z57" s="15"/>
      <c r="AA57" s="14" t="n">
        <v>69</v>
      </c>
      <c r="AB57" s="19"/>
      <c r="AC57" s="4" t="s">
        <v>79</v>
      </c>
      <c r="AD57" s="15"/>
      <c r="AE57" s="14" t="n">
        <v>69</v>
      </c>
      <c r="AF57" s="14" t="n">
        <v>69</v>
      </c>
      <c r="AG57" s="14" t="n">
        <v>0</v>
      </c>
      <c r="AH57" s="18" t="n">
        <f aca="false">IF(AND(AC57="Sold",AE57&lt;&gt;"",AF57&lt;&gt;""),AE57-AF57,"")</f>
        <v>0</v>
      </c>
      <c r="AI57" s="18" t="n">
        <f aca="false">IF(AND(AC57="Sold",AF57&lt;&gt;"",X57&lt;&gt;""),AF57-N(AG57)-X57,"")</f>
        <v>36</v>
      </c>
      <c r="AJ57" s="20" t="n">
        <f aca="false">IF(AND(AI57&lt;&gt;"",N(AE57)&gt;0),AI57/AE57,"")</f>
        <v>0.521739130434783</v>
      </c>
      <c r="AK57" s="20" t="n">
        <f aca="false">IF(AND(AI57&lt;&gt;"",N(X57)&gt;0),AI57/X57,"")</f>
        <v>1.09090909090909</v>
      </c>
      <c r="AL57" s="21" t="str">
        <f aca="false">IF(AND(AC57="Sold",AD57&lt;&gt;"",Z57&lt;&gt;""),AD57-Z57,"")</f>
        <v/>
      </c>
      <c r="AM57" s="20" t="n">
        <f aca="false">IF(AND(AC57="Sold",N(AA57)&gt;0,AE57&lt;&gt;""),1-AE57/AA57,"")</f>
        <v>0</v>
      </c>
      <c r="AN57" s="21" t="str">
        <f aca="true">IF(AND(AC57&lt;&gt;"Sold",AC57&lt;&gt;"",Z57&lt;&gt;""),TODAY()-Z57,"")</f>
        <v/>
      </c>
      <c r="AO57" s="4" t="s">
        <v>86</v>
      </c>
      <c r="AP57" s="4" t="s">
        <v>256</v>
      </c>
    </row>
    <row r="58" customFormat="false" ht="15" hidden="false" customHeight="true" outlineLevel="0" collapsed="false">
      <c r="A58" s="4" t="s">
        <v>268</v>
      </c>
      <c r="B58" s="4" t="s">
        <v>140</v>
      </c>
      <c r="C58" s="4" t="s">
        <v>269</v>
      </c>
      <c r="D58" s="4"/>
      <c r="E58" s="4"/>
      <c r="F58" s="4" t="s">
        <v>72</v>
      </c>
      <c r="G58" s="4"/>
      <c r="H58" s="4" t="s">
        <v>73</v>
      </c>
      <c r="I58" s="4"/>
      <c r="J58" s="4"/>
      <c r="K58" s="4" t="s">
        <v>253</v>
      </c>
      <c r="L58" s="4" t="s">
        <v>254</v>
      </c>
      <c r="M58" s="4" t="s">
        <v>255</v>
      </c>
      <c r="N58" s="14" t="n">
        <v>353</v>
      </c>
      <c r="O58" s="15"/>
      <c r="P58" s="16" t="n">
        <v>29</v>
      </c>
      <c r="Q58" s="4" t="s">
        <v>77</v>
      </c>
      <c r="R58" s="17" t="n">
        <v>1</v>
      </c>
      <c r="S58" s="18" t="n">
        <f aca="false">IF(OR(P58="",R58=""),"",P58*R58)</f>
        <v>29</v>
      </c>
      <c r="T58" s="14" t="n">
        <v>4</v>
      </c>
      <c r="U58" s="14" t="n">
        <v>0</v>
      </c>
      <c r="V58" s="14" t="n">
        <v>0</v>
      </c>
      <c r="W58" s="14" t="n">
        <v>0</v>
      </c>
      <c r="X58" s="18" t="n">
        <f aca="false">IF(S58="","",S58+N(T58)+N(U58)+N(V58)+N(W58))</f>
        <v>33</v>
      </c>
      <c r="Y58" s="4" t="s">
        <v>78</v>
      </c>
      <c r="Z58" s="15"/>
      <c r="AA58" s="14" t="n">
        <v>147</v>
      </c>
      <c r="AB58" s="19"/>
      <c r="AC58" s="4" t="s">
        <v>79</v>
      </c>
      <c r="AD58" s="15"/>
      <c r="AE58" s="14" t="n">
        <v>147</v>
      </c>
      <c r="AF58" s="14" t="n">
        <v>147</v>
      </c>
      <c r="AG58" s="14" t="n">
        <v>0</v>
      </c>
      <c r="AH58" s="18" t="n">
        <f aca="false">IF(AND(AC58="Sold",AE58&lt;&gt;"",AF58&lt;&gt;""),AE58-AF58,"")</f>
        <v>0</v>
      </c>
      <c r="AI58" s="18" t="n">
        <f aca="false">IF(AND(AC58="Sold",AF58&lt;&gt;"",X58&lt;&gt;""),AF58-N(AG58)-X58,"")</f>
        <v>114</v>
      </c>
      <c r="AJ58" s="20" t="n">
        <f aca="false">IF(AND(AI58&lt;&gt;"",N(AE58)&gt;0),AI58/AE58,"")</f>
        <v>0.775510204081633</v>
      </c>
      <c r="AK58" s="20" t="n">
        <f aca="false">IF(AND(AI58&lt;&gt;"",N(X58)&gt;0),AI58/X58,"")</f>
        <v>3.45454545454545</v>
      </c>
      <c r="AL58" s="21" t="str">
        <f aca="false">IF(AND(AC58="Sold",AD58&lt;&gt;"",Z58&lt;&gt;""),AD58-Z58,"")</f>
        <v/>
      </c>
      <c r="AM58" s="20" t="n">
        <f aca="false">IF(AND(AC58="Sold",N(AA58)&gt;0,AE58&lt;&gt;""),1-AE58/AA58,"")</f>
        <v>0</v>
      </c>
      <c r="AN58" s="21" t="str">
        <f aca="true">IF(AND(AC58&lt;&gt;"Sold",AC58&lt;&gt;"",Z58&lt;&gt;""),TODAY()-Z58,"")</f>
        <v/>
      </c>
      <c r="AO58" s="4" t="s">
        <v>86</v>
      </c>
      <c r="AP58" s="4" t="s">
        <v>256</v>
      </c>
    </row>
    <row r="59" customFormat="false" ht="15" hidden="false" customHeight="true" outlineLevel="0" collapsed="false">
      <c r="A59" s="4" t="s">
        <v>270</v>
      </c>
      <c r="B59" s="4" t="s">
        <v>99</v>
      </c>
      <c r="C59" s="4" t="s">
        <v>271</v>
      </c>
      <c r="D59" s="4"/>
      <c r="E59" s="4" t="s">
        <v>272</v>
      </c>
      <c r="F59" s="4"/>
      <c r="G59" s="4"/>
      <c r="H59" s="4" t="s">
        <v>73</v>
      </c>
      <c r="I59" s="4"/>
      <c r="J59" s="4"/>
      <c r="K59" s="4" t="s">
        <v>253</v>
      </c>
      <c r="L59" s="4" t="s">
        <v>254</v>
      </c>
      <c r="M59" s="4" t="s">
        <v>255</v>
      </c>
      <c r="N59" s="14" t="n">
        <v>364</v>
      </c>
      <c r="O59" s="15"/>
      <c r="P59" s="16" t="n">
        <v>30</v>
      </c>
      <c r="Q59" s="4" t="s">
        <v>77</v>
      </c>
      <c r="R59" s="17" t="n">
        <v>1</v>
      </c>
      <c r="S59" s="18" t="n">
        <f aca="false">IF(OR(P59="",R59=""),"",P59*R59)</f>
        <v>30</v>
      </c>
      <c r="T59" s="14" t="n">
        <v>4</v>
      </c>
      <c r="U59" s="14" t="n">
        <v>0</v>
      </c>
      <c r="V59" s="14" t="n">
        <v>0</v>
      </c>
      <c r="W59" s="14" t="n">
        <v>0</v>
      </c>
      <c r="X59" s="18" t="n">
        <f aca="false">IF(S59="","",S59+N(T59)+N(U59)+N(V59)+N(W59))</f>
        <v>34</v>
      </c>
      <c r="Y59" s="4" t="s">
        <v>78</v>
      </c>
      <c r="Z59" s="15"/>
      <c r="AA59" s="14" t="n">
        <v>51</v>
      </c>
      <c r="AB59" s="19"/>
      <c r="AC59" s="4" t="s">
        <v>79</v>
      </c>
      <c r="AD59" s="15"/>
      <c r="AE59" s="14" t="n">
        <v>51</v>
      </c>
      <c r="AF59" s="14" t="n">
        <v>51</v>
      </c>
      <c r="AG59" s="14" t="n">
        <v>0</v>
      </c>
      <c r="AH59" s="18" t="n">
        <f aca="false">IF(AND(AC59="Sold",AE59&lt;&gt;"",AF59&lt;&gt;""),AE59-AF59,"")</f>
        <v>0</v>
      </c>
      <c r="AI59" s="18" t="n">
        <f aca="false">IF(AND(AC59="Sold",AF59&lt;&gt;"",X59&lt;&gt;""),AF59-N(AG59)-X59,"")</f>
        <v>17</v>
      </c>
      <c r="AJ59" s="20" t="n">
        <f aca="false">IF(AND(AI59&lt;&gt;"",N(AE59)&gt;0),AI59/AE59,"")</f>
        <v>0.333333333333333</v>
      </c>
      <c r="AK59" s="20" t="n">
        <f aca="false">IF(AND(AI59&lt;&gt;"",N(X59)&gt;0),AI59/X59,"")</f>
        <v>0.5</v>
      </c>
      <c r="AL59" s="21" t="str">
        <f aca="false">IF(AND(AC59="Sold",AD59&lt;&gt;"",Z59&lt;&gt;""),AD59-Z59,"")</f>
        <v/>
      </c>
      <c r="AM59" s="20" t="n">
        <f aca="false">IF(AND(AC59="Sold",N(AA59)&gt;0,AE59&lt;&gt;""),1-AE59/AA59,"")</f>
        <v>0</v>
      </c>
      <c r="AN59" s="21" t="str">
        <f aca="true">IF(AND(AC59&lt;&gt;"Sold",AC59&lt;&gt;"",Z59&lt;&gt;""),TODAY()-Z59,"")</f>
        <v/>
      </c>
      <c r="AO59" s="4" t="s">
        <v>86</v>
      </c>
      <c r="AP59" s="4" t="s">
        <v>256</v>
      </c>
    </row>
    <row r="60" customFormat="false" ht="15" hidden="false" customHeight="true" outlineLevel="0" collapsed="false">
      <c r="A60" s="4" t="s">
        <v>273</v>
      </c>
      <c r="B60" s="4" t="s">
        <v>140</v>
      </c>
      <c r="C60" s="4" t="s">
        <v>274</v>
      </c>
      <c r="D60" s="4"/>
      <c r="E60" s="4"/>
      <c r="F60" s="4"/>
      <c r="G60" s="4"/>
      <c r="H60" s="4" t="s">
        <v>73</v>
      </c>
      <c r="I60" s="4"/>
      <c r="J60" s="4"/>
      <c r="K60" s="4" t="s">
        <v>253</v>
      </c>
      <c r="L60" s="4" t="s">
        <v>254</v>
      </c>
      <c r="M60" s="4" t="s">
        <v>255</v>
      </c>
      <c r="N60" s="14" t="n">
        <v>364</v>
      </c>
      <c r="O60" s="15"/>
      <c r="P60" s="16" t="n">
        <v>30</v>
      </c>
      <c r="Q60" s="4" t="s">
        <v>77</v>
      </c>
      <c r="R60" s="17" t="n">
        <v>1</v>
      </c>
      <c r="S60" s="18" t="n">
        <f aca="false">IF(OR(P60="",R60=""),"",P60*R60)</f>
        <v>30</v>
      </c>
      <c r="T60" s="14" t="n">
        <v>4</v>
      </c>
      <c r="U60" s="14" t="n">
        <v>0</v>
      </c>
      <c r="V60" s="14" t="n">
        <v>0</v>
      </c>
      <c r="W60" s="14" t="n">
        <v>0</v>
      </c>
      <c r="X60" s="18" t="n">
        <f aca="false">IF(S60="","",S60+N(T60)+N(U60)+N(V60)+N(W60))</f>
        <v>34</v>
      </c>
      <c r="Y60" s="4" t="s">
        <v>78</v>
      </c>
      <c r="Z60" s="15"/>
      <c r="AA60" s="14" t="n">
        <v>81</v>
      </c>
      <c r="AB60" s="19"/>
      <c r="AC60" s="4" t="s">
        <v>79</v>
      </c>
      <c r="AD60" s="15"/>
      <c r="AE60" s="14" t="n">
        <v>81</v>
      </c>
      <c r="AF60" s="14" t="n">
        <v>81</v>
      </c>
      <c r="AG60" s="14" t="n">
        <v>0</v>
      </c>
      <c r="AH60" s="18" t="n">
        <f aca="false">IF(AND(AC60="Sold",AE60&lt;&gt;"",AF60&lt;&gt;""),AE60-AF60,"")</f>
        <v>0</v>
      </c>
      <c r="AI60" s="18" t="n">
        <f aca="false">IF(AND(AC60="Sold",AF60&lt;&gt;"",X60&lt;&gt;""),AF60-N(AG60)-X60,"")</f>
        <v>47</v>
      </c>
      <c r="AJ60" s="20" t="n">
        <f aca="false">IF(AND(AI60&lt;&gt;"",N(AE60)&gt;0),AI60/AE60,"")</f>
        <v>0.580246913580247</v>
      </c>
      <c r="AK60" s="20" t="n">
        <f aca="false">IF(AND(AI60&lt;&gt;"",N(X60)&gt;0),AI60/X60,"")</f>
        <v>1.38235294117647</v>
      </c>
      <c r="AL60" s="21" t="str">
        <f aca="false">IF(AND(AC60="Sold",AD60&lt;&gt;"",Z60&lt;&gt;""),AD60-Z60,"")</f>
        <v/>
      </c>
      <c r="AM60" s="20" t="n">
        <f aca="false">IF(AND(AC60="Sold",N(AA60)&gt;0,AE60&lt;&gt;""),1-AE60/AA60,"")</f>
        <v>0</v>
      </c>
      <c r="AN60" s="21" t="str">
        <f aca="true">IF(AND(AC60&lt;&gt;"Sold",AC60&lt;&gt;"",Z60&lt;&gt;""),TODAY()-Z60,"")</f>
        <v/>
      </c>
      <c r="AO60" s="4" t="s">
        <v>86</v>
      </c>
      <c r="AP60" s="4" t="s">
        <v>256</v>
      </c>
    </row>
    <row r="61" customFormat="false" ht="15" hidden="false" customHeight="true" outlineLevel="0" collapsed="false">
      <c r="A61" s="4" t="s">
        <v>275</v>
      </c>
      <c r="B61" s="4" t="s">
        <v>140</v>
      </c>
      <c r="C61" s="4" t="s">
        <v>276</v>
      </c>
      <c r="D61" s="4"/>
      <c r="E61" s="4" t="s">
        <v>277</v>
      </c>
      <c r="F61" s="4"/>
      <c r="G61" s="4"/>
      <c r="H61" s="4" t="s">
        <v>73</v>
      </c>
      <c r="I61" s="4"/>
      <c r="J61" s="4"/>
      <c r="K61" s="4" t="s">
        <v>253</v>
      </c>
      <c r="L61" s="4" t="s">
        <v>254</v>
      </c>
      <c r="M61" s="4" t="s">
        <v>255</v>
      </c>
      <c r="N61" s="14" t="n">
        <v>365</v>
      </c>
      <c r="O61" s="15"/>
      <c r="P61" s="16" t="n">
        <v>30</v>
      </c>
      <c r="Q61" s="4" t="s">
        <v>77</v>
      </c>
      <c r="R61" s="17" t="n">
        <v>1</v>
      </c>
      <c r="S61" s="18" t="n">
        <f aca="false">IF(OR(P61="",R61=""),"",P61*R61)</f>
        <v>30</v>
      </c>
      <c r="T61" s="14" t="n">
        <v>4</v>
      </c>
      <c r="U61" s="14" t="n">
        <v>0</v>
      </c>
      <c r="V61" s="14" t="n">
        <v>0</v>
      </c>
      <c r="W61" s="14" t="n">
        <v>0</v>
      </c>
      <c r="X61" s="18" t="n">
        <f aca="false">IF(S61="","",S61+N(T61)+N(U61)+N(V61)+N(W61))</f>
        <v>34</v>
      </c>
      <c r="Y61" s="4" t="s">
        <v>78</v>
      </c>
      <c r="Z61" s="15"/>
      <c r="AA61" s="14" t="n">
        <v>101</v>
      </c>
      <c r="AB61" s="19"/>
      <c r="AC61" s="4" t="s">
        <v>79</v>
      </c>
      <c r="AD61" s="15"/>
      <c r="AE61" s="14" t="n">
        <v>101</v>
      </c>
      <c r="AF61" s="14" t="n">
        <v>101</v>
      </c>
      <c r="AG61" s="14" t="n">
        <v>0</v>
      </c>
      <c r="AH61" s="18" t="n">
        <f aca="false">IF(AND(AC61="Sold",AE61&lt;&gt;"",AF61&lt;&gt;""),AE61-AF61,"")</f>
        <v>0</v>
      </c>
      <c r="AI61" s="18" t="n">
        <f aca="false">IF(AND(AC61="Sold",AF61&lt;&gt;"",X61&lt;&gt;""),AF61-N(AG61)-X61,"")</f>
        <v>67</v>
      </c>
      <c r="AJ61" s="20" t="n">
        <f aca="false">IF(AND(AI61&lt;&gt;"",N(AE61)&gt;0),AI61/AE61,"")</f>
        <v>0.663366336633663</v>
      </c>
      <c r="AK61" s="20" t="n">
        <f aca="false">IF(AND(AI61&lt;&gt;"",N(X61)&gt;0),AI61/X61,"")</f>
        <v>1.97058823529412</v>
      </c>
      <c r="AL61" s="21" t="str">
        <f aca="false">IF(AND(AC61="Sold",AD61&lt;&gt;"",Z61&lt;&gt;""),AD61-Z61,"")</f>
        <v/>
      </c>
      <c r="AM61" s="20" t="n">
        <f aca="false">IF(AND(AC61="Sold",N(AA61)&gt;0,AE61&lt;&gt;""),1-AE61/AA61,"")</f>
        <v>0</v>
      </c>
      <c r="AN61" s="21" t="str">
        <f aca="true">IF(AND(AC61&lt;&gt;"Sold",AC61&lt;&gt;"",Z61&lt;&gt;""),TODAY()-Z61,"")</f>
        <v/>
      </c>
      <c r="AO61" s="4" t="s">
        <v>86</v>
      </c>
      <c r="AP61" s="4" t="s">
        <v>256</v>
      </c>
    </row>
    <row r="62" customFormat="false" ht="15" hidden="false" customHeight="true" outlineLevel="0" collapsed="false">
      <c r="A62" s="4" t="s">
        <v>278</v>
      </c>
      <c r="B62" s="4" t="s">
        <v>132</v>
      </c>
      <c r="C62" s="4" t="s">
        <v>279</v>
      </c>
      <c r="D62" s="4"/>
      <c r="E62" s="4"/>
      <c r="F62" s="4"/>
      <c r="G62" s="4"/>
      <c r="H62" s="4" t="s">
        <v>73</v>
      </c>
      <c r="I62" s="4"/>
      <c r="J62" s="4"/>
      <c r="K62" s="4" t="s">
        <v>253</v>
      </c>
      <c r="L62" s="4" t="s">
        <v>254</v>
      </c>
      <c r="M62" s="4" t="s">
        <v>255</v>
      </c>
      <c r="N62" s="14" t="n">
        <v>325</v>
      </c>
      <c r="O62" s="15"/>
      <c r="P62" s="16" t="n">
        <v>27</v>
      </c>
      <c r="Q62" s="4" t="s">
        <v>77</v>
      </c>
      <c r="R62" s="17" t="n">
        <v>1</v>
      </c>
      <c r="S62" s="18" t="n">
        <f aca="false">IF(OR(P62="",R62=""),"",P62*R62)</f>
        <v>27</v>
      </c>
      <c r="T62" s="14" t="n">
        <v>4</v>
      </c>
      <c r="U62" s="14" t="n">
        <v>0</v>
      </c>
      <c r="V62" s="14" t="n">
        <v>0</v>
      </c>
      <c r="W62" s="14" t="n">
        <v>0</v>
      </c>
      <c r="X62" s="18" t="n">
        <f aca="false">IF(S62="","",S62+N(T62)+N(U62)+N(V62)+N(W62))</f>
        <v>31</v>
      </c>
      <c r="Y62" s="4" t="s">
        <v>78</v>
      </c>
      <c r="Z62" s="15"/>
      <c r="AA62" s="14" t="n">
        <v>90</v>
      </c>
      <c r="AB62" s="19"/>
      <c r="AC62" s="4" t="s">
        <v>79</v>
      </c>
      <c r="AD62" s="15"/>
      <c r="AE62" s="14" t="n">
        <v>90</v>
      </c>
      <c r="AF62" s="14" t="n">
        <v>90</v>
      </c>
      <c r="AG62" s="14" t="n">
        <v>0</v>
      </c>
      <c r="AH62" s="18" t="n">
        <f aca="false">IF(AND(AC62="Sold",AE62&lt;&gt;"",AF62&lt;&gt;""),AE62-AF62,"")</f>
        <v>0</v>
      </c>
      <c r="AI62" s="18" t="n">
        <f aca="false">IF(AND(AC62="Sold",AF62&lt;&gt;"",X62&lt;&gt;""),AF62-N(AG62)-X62,"")</f>
        <v>59</v>
      </c>
      <c r="AJ62" s="20" t="n">
        <f aca="false">IF(AND(AI62&lt;&gt;"",N(AE62)&gt;0),AI62/AE62,"")</f>
        <v>0.655555555555556</v>
      </c>
      <c r="AK62" s="20" t="n">
        <f aca="false">IF(AND(AI62&lt;&gt;"",N(X62)&gt;0),AI62/X62,"")</f>
        <v>1.90322580645161</v>
      </c>
      <c r="AL62" s="21" t="str">
        <f aca="false">IF(AND(AC62="Sold",AD62&lt;&gt;"",Z62&lt;&gt;""),AD62-Z62,"")</f>
        <v/>
      </c>
      <c r="AM62" s="20" t="n">
        <f aca="false">IF(AND(AC62="Sold",N(AA62)&gt;0,AE62&lt;&gt;""),1-AE62/AA62,"")</f>
        <v>0</v>
      </c>
      <c r="AN62" s="21" t="str">
        <f aca="true">IF(AND(AC62&lt;&gt;"Sold",AC62&lt;&gt;"",Z62&lt;&gt;""),TODAY()-Z62,"")</f>
        <v/>
      </c>
      <c r="AO62" s="4" t="s">
        <v>86</v>
      </c>
      <c r="AP62" s="4" t="s">
        <v>256</v>
      </c>
    </row>
    <row r="63" customFormat="false" ht="15" hidden="false" customHeight="true" outlineLevel="0" collapsed="false">
      <c r="A63" s="4" t="s">
        <v>280</v>
      </c>
      <c r="B63" s="4" t="s">
        <v>281</v>
      </c>
      <c r="C63" s="4" t="s">
        <v>282</v>
      </c>
      <c r="D63" s="4"/>
      <c r="E63" s="4" t="s">
        <v>252</v>
      </c>
      <c r="F63" s="4"/>
      <c r="G63" s="4"/>
      <c r="H63" s="4" t="s">
        <v>73</v>
      </c>
      <c r="I63" s="4"/>
      <c r="J63" s="4"/>
      <c r="K63" s="4" t="s">
        <v>253</v>
      </c>
      <c r="L63" s="4" t="s">
        <v>254</v>
      </c>
      <c r="M63" s="4" t="s">
        <v>255</v>
      </c>
      <c r="N63" s="14" t="n">
        <v>388</v>
      </c>
      <c r="O63" s="15"/>
      <c r="P63" s="16" t="n">
        <v>32</v>
      </c>
      <c r="Q63" s="4" t="s">
        <v>77</v>
      </c>
      <c r="R63" s="17" t="n">
        <v>1</v>
      </c>
      <c r="S63" s="18" t="n">
        <f aca="false">IF(OR(P63="",R63=""),"",P63*R63)</f>
        <v>32</v>
      </c>
      <c r="T63" s="14" t="n">
        <v>4</v>
      </c>
      <c r="U63" s="14" t="n">
        <v>0</v>
      </c>
      <c r="V63" s="14" t="n">
        <v>0</v>
      </c>
      <c r="W63" s="14" t="n">
        <v>0</v>
      </c>
      <c r="X63" s="18" t="n">
        <f aca="false">IF(S63="","",S63+N(T63)+N(U63)+N(V63)+N(W63))</f>
        <v>36</v>
      </c>
      <c r="Y63" s="4" t="s">
        <v>78</v>
      </c>
      <c r="Z63" s="15"/>
      <c r="AA63" s="14" t="n">
        <v>86</v>
      </c>
      <c r="AB63" s="19"/>
      <c r="AC63" s="4" t="s">
        <v>79</v>
      </c>
      <c r="AD63" s="15"/>
      <c r="AE63" s="14" t="n">
        <v>86</v>
      </c>
      <c r="AF63" s="14" t="n">
        <v>86</v>
      </c>
      <c r="AG63" s="14" t="n">
        <v>0</v>
      </c>
      <c r="AH63" s="18" t="n">
        <f aca="false">IF(AND(AC63="Sold",AE63&lt;&gt;"",AF63&lt;&gt;""),AE63-AF63,"")</f>
        <v>0</v>
      </c>
      <c r="AI63" s="18" t="n">
        <f aca="false">IF(AND(AC63="Sold",AF63&lt;&gt;"",X63&lt;&gt;""),AF63-N(AG63)-X63,"")</f>
        <v>50</v>
      </c>
      <c r="AJ63" s="20" t="n">
        <f aca="false">IF(AND(AI63&lt;&gt;"",N(AE63)&gt;0),AI63/AE63,"")</f>
        <v>0.581395348837209</v>
      </c>
      <c r="AK63" s="20" t="n">
        <f aca="false">IF(AND(AI63&lt;&gt;"",N(X63)&gt;0),AI63/X63,"")</f>
        <v>1.38888888888889</v>
      </c>
      <c r="AL63" s="21" t="str">
        <f aca="false">IF(AND(AC63="Sold",AD63&lt;&gt;"",Z63&lt;&gt;""),AD63-Z63,"")</f>
        <v/>
      </c>
      <c r="AM63" s="20" t="n">
        <f aca="false">IF(AND(AC63="Sold",N(AA63)&gt;0,AE63&lt;&gt;""),1-AE63/AA63,"")</f>
        <v>0</v>
      </c>
      <c r="AN63" s="21" t="str">
        <f aca="true">IF(AND(AC63&lt;&gt;"Sold",AC63&lt;&gt;"",Z63&lt;&gt;""),TODAY()-Z63,"")</f>
        <v/>
      </c>
      <c r="AO63" s="4" t="s">
        <v>86</v>
      </c>
      <c r="AP63" s="4" t="s">
        <v>256</v>
      </c>
    </row>
    <row r="64" customFormat="false" ht="15" hidden="false" customHeight="true" outlineLevel="0" collapsed="false">
      <c r="A64" s="4" t="s">
        <v>283</v>
      </c>
      <c r="B64" s="4" t="s">
        <v>140</v>
      </c>
      <c r="C64" s="4" t="s">
        <v>284</v>
      </c>
      <c r="D64" s="4"/>
      <c r="E64" s="4"/>
      <c r="F64" s="4"/>
      <c r="G64" s="4"/>
      <c r="H64" s="4" t="s">
        <v>73</v>
      </c>
      <c r="I64" s="4"/>
      <c r="J64" s="4"/>
      <c r="K64" s="4" t="s">
        <v>253</v>
      </c>
      <c r="L64" s="4" t="s">
        <v>254</v>
      </c>
      <c r="M64" s="4" t="s">
        <v>255</v>
      </c>
      <c r="N64" s="14" t="n">
        <v>399</v>
      </c>
      <c r="O64" s="15"/>
      <c r="P64" s="16" t="n">
        <v>33</v>
      </c>
      <c r="Q64" s="4" t="s">
        <v>77</v>
      </c>
      <c r="R64" s="17" t="n">
        <v>1</v>
      </c>
      <c r="S64" s="18" t="n">
        <f aca="false">IF(OR(P64="",R64=""),"",P64*R64)</f>
        <v>33</v>
      </c>
      <c r="T64" s="14" t="n">
        <v>4</v>
      </c>
      <c r="U64" s="14" t="n">
        <v>0</v>
      </c>
      <c r="V64" s="14" t="n">
        <v>0</v>
      </c>
      <c r="W64" s="14" t="n">
        <v>0</v>
      </c>
      <c r="X64" s="18" t="n">
        <f aca="false">IF(S64="","",S64+N(T64)+N(U64)+N(V64)+N(W64))</f>
        <v>37</v>
      </c>
      <c r="Y64" s="4" t="s">
        <v>78</v>
      </c>
      <c r="Z64" s="15"/>
      <c r="AA64" s="14" t="n">
        <v>50</v>
      </c>
      <c r="AB64" s="19"/>
      <c r="AC64" s="4" t="s">
        <v>79</v>
      </c>
      <c r="AD64" s="15"/>
      <c r="AE64" s="14" t="n">
        <v>50</v>
      </c>
      <c r="AF64" s="14" t="n">
        <v>50</v>
      </c>
      <c r="AG64" s="14" t="n">
        <v>0</v>
      </c>
      <c r="AH64" s="18" t="n">
        <f aca="false">IF(AND(AC64="Sold",AE64&lt;&gt;"",AF64&lt;&gt;""),AE64-AF64,"")</f>
        <v>0</v>
      </c>
      <c r="AI64" s="18" t="n">
        <f aca="false">IF(AND(AC64="Sold",AF64&lt;&gt;"",X64&lt;&gt;""),AF64-N(AG64)-X64,"")</f>
        <v>13</v>
      </c>
      <c r="AJ64" s="20" t="n">
        <f aca="false">IF(AND(AI64&lt;&gt;"",N(AE64)&gt;0),AI64/AE64,"")</f>
        <v>0.26</v>
      </c>
      <c r="AK64" s="20" t="n">
        <f aca="false">IF(AND(AI64&lt;&gt;"",N(X64)&gt;0),AI64/X64,"")</f>
        <v>0.351351351351351</v>
      </c>
      <c r="AL64" s="21" t="str">
        <f aca="false">IF(AND(AC64="Sold",AD64&lt;&gt;"",Z64&lt;&gt;""),AD64-Z64,"")</f>
        <v/>
      </c>
      <c r="AM64" s="20" t="n">
        <f aca="false">IF(AND(AC64="Sold",N(AA64)&gt;0,AE64&lt;&gt;""),1-AE64/AA64,"")</f>
        <v>0</v>
      </c>
      <c r="AN64" s="21" t="str">
        <f aca="true">IF(AND(AC64&lt;&gt;"Sold",AC64&lt;&gt;"",Z64&lt;&gt;""),TODAY()-Z64,"")</f>
        <v/>
      </c>
      <c r="AO64" s="4" t="s">
        <v>86</v>
      </c>
      <c r="AP64" s="4" t="s">
        <v>256</v>
      </c>
    </row>
    <row r="65" customFormat="false" ht="1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14"/>
      <c r="O65" s="15"/>
      <c r="P65" s="16"/>
      <c r="Q65" s="4"/>
      <c r="R65" s="17"/>
      <c r="S65" s="18" t="str">
        <f aca="false">IF(OR(P65="",R65=""),"",P65*R65)</f>
        <v/>
      </c>
      <c r="T65" s="14"/>
      <c r="U65" s="14"/>
      <c r="V65" s="14"/>
      <c r="W65" s="14"/>
      <c r="X65" s="18" t="str">
        <f aca="false">IF(S65="","",S65+N(T65)+N(U65)+N(V65)+N(W65))</f>
        <v/>
      </c>
      <c r="Y65" s="4"/>
      <c r="Z65" s="15"/>
      <c r="AA65" s="14"/>
      <c r="AB65" s="19"/>
      <c r="AC65" s="4"/>
      <c r="AD65" s="15"/>
      <c r="AE65" s="14"/>
      <c r="AF65" s="14"/>
      <c r="AG65" s="14"/>
      <c r="AH65" s="18" t="str">
        <f aca="false">IF(AND(AC65="Sold",AE65&lt;&gt;"",AF65&lt;&gt;""),AE65-AF65,"")</f>
        <v/>
      </c>
      <c r="AI65" s="18" t="str">
        <f aca="false">IF(AND(AC65="Sold",AF65&lt;&gt;"",X65&lt;&gt;""),AF65-N(AG65)-X65,"")</f>
        <v/>
      </c>
      <c r="AJ65" s="20" t="str">
        <f aca="false">IF(AND(AI65&lt;&gt;"",N(AE65)&gt;0),AI65/AE65,"")</f>
        <v/>
      </c>
      <c r="AK65" s="20" t="str">
        <f aca="false">IF(AND(AI65&lt;&gt;"",N(X65)&gt;0),AI65/X65,"")</f>
        <v/>
      </c>
      <c r="AL65" s="21" t="str">
        <f aca="false">IF(AND(AC65="Sold",AD65&lt;&gt;"",Z65&lt;&gt;""),AD65-Z65,"")</f>
        <v/>
      </c>
      <c r="AM65" s="20" t="str">
        <f aca="false">IF(AND(AC65="Sold",N(AA65)&gt;0,AE65&lt;&gt;""),1-AE65/AA65,"")</f>
        <v/>
      </c>
      <c r="AN65" s="21" t="str">
        <f aca="true">IF(AND(AC65&lt;&gt;"Sold",AC65&lt;&gt;"",Z65&lt;&gt;""),TODAY()-Z65,"")</f>
        <v/>
      </c>
      <c r="AO65" s="4"/>
      <c r="AP65" s="4"/>
    </row>
    <row r="66" customFormat="false" ht="1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14"/>
      <c r="O66" s="15"/>
      <c r="P66" s="16"/>
      <c r="Q66" s="4"/>
      <c r="R66" s="17"/>
      <c r="S66" s="18" t="str">
        <f aca="false">IF(OR(P66="",R66=""),"",P66*R66)</f>
        <v/>
      </c>
      <c r="T66" s="14"/>
      <c r="U66" s="14"/>
      <c r="V66" s="14"/>
      <c r="W66" s="14"/>
      <c r="X66" s="18" t="str">
        <f aca="false">IF(S66="","",S66+N(T66)+N(U66)+N(V66)+N(W66))</f>
        <v/>
      </c>
      <c r="Y66" s="4"/>
      <c r="Z66" s="15"/>
      <c r="AA66" s="14"/>
      <c r="AB66" s="19"/>
      <c r="AC66" s="4"/>
      <c r="AD66" s="15"/>
      <c r="AE66" s="14"/>
      <c r="AF66" s="14"/>
      <c r="AG66" s="14"/>
      <c r="AH66" s="18" t="str">
        <f aca="false">IF(AND(AC66="Sold",AE66&lt;&gt;"",AF66&lt;&gt;""),AE66-AF66,"")</f>
        <v/>
      </c>
      <c r="AI66" s="18" t="str">
        <f aca="false">IF(AND(AC66="Sold",AF66&lt;&gt;"",X66&lt;&gt;""),AF66-N(AG66)-X66,"")</f>
        <v/>
      </c>
      <c r="AJ66" s="20" t="str">
        <f aca="false">IF(AND(AI66&lt;&gt;"",N(AE66)&gt;0),AI66/AE66,"")</f>
        <v/>
      </c>
      <c r="AK66" s="20" t="str">
        <f aca="false">IF(AND(AI66&lt;&gt;"",N(X66)&gt;0),AI66/X66,"")</f>
        <v/>
      </c>
      <c r="AL66" s="21" t="str">
        <f aca="false">IF(AND(AC66="Sold",AD66&lt;&gt;"",Z66&lt;&gt;""),AD66-Z66,"")</f>
        <v/>
      </c>
      <c r="AM66" s="20" t="str">
        <f aca="false">IF(AND(AC66="Sold",N(AA66)&gt;0,AE66&lt;&gt;""),1-AE66/AA66,"")</f>
        <v/>
      </c>
      <c r="AN66" s="21" t="str">
        <f aca="true">IF(AND(AC66&lt;&gt;"Sold",AC66&lt;&gt;"",Z66&lt;&gt;""),TODAY()-Z66,"")</f>
        <v/>
      </c>
      <c r="AO66" s="4"/>
      <c r="AP66" s="4"/>
    </row>
    <row r="67" customFormat="false" ht="1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14"/>
      <c r="O67" s="15"/>
      <c r="P67" s="16"/>
      <c r="Q67" s="4"/>
      <c r="R67" s="17"/>
      <c r="S67" s="18" t="str">
        <f aca="false">IF(OR(P67="",R67=""),"",P67*R67)</f>
        <v/>
      </c>
      <c r="T67" s="14"/>
      <c r="U67" s="14"/>
      <c r="V67" s="14"/>
      <c r="W67" s="14"/>
      <c r="X67" s="18" t="str">
        <f aca="false">IF(S67="","",S67+N(T67)+N(U67)+N(V67)+N(W67))</f>
        <v/>
      </c>
      <c r="Y67" s="4"/>
      <c r="Z67" s="15"/>
      <c r="AA67" s="14"/>
      <c r="AB67" s="19"/>
      <c r="AC67" s="4"/>
      <c r="AD67" s="15"/>
      <c r="AE67" s="14"/>
      <c r="AF67" s="14"/>
      <c r="AG67" s="14"/>
      <c r="AH67" s="18" t="str">
        <f aca="false">IF(AND(AC67="Sold",AE67&lt;&gt;"",AF67&lt;&gt;""),AE67-AF67,"")</f>
        <v/>
      </c>
      <c r="AI67" s="18" t="str">
        <f aca="false">IF(AND(AC67="Sold",AF67&lt;&gt;"",X67&lt;&gt;""),AF67-N(AG67)-X67,"")</f>
        <v/>
      </c>
      <c r="AJ67" s="20" t="str">
        <f aca="false">IF(AND(AI67&lt;&gt;"",N(AE67)&gt;0),AI67/AE67,"")</f>
        <v/>
      </c>
      <c r="AK67" s="20" t="str">
        <f aca="false">IF(AND(AI67&lt;&gt;"",N(X67)&gt;0),AI67/X67,"")</f>
        <v/>
      </c>
      <c r="AL67" s="21" t="str">
        <f aca="false">IF(AND(AC67="Sold",AD67&lt;&gt;"",Z67&lt;&gt;""),AD67-Z67,"")</f>
        <v/>
      </c>
      <c r="AM67" s="20" t="str">
        <f aca="false">IF(AND(AC67="Sold",N(AA67)&gt;0,AE67&lt;&gt;""),1-AE67/AA67,"")</f>
        <v/>
      </c>
      <c r="AN67" s="21" t="str">
        <f aca="true">IF(AND(AC67&lt;&gt;"Sold",AC67&lt;&gt;"",Z67&lt;&gt;""),TODAY()-Z67,"")</f>
        <v/>
      </c>
      <c r="AO67" s="4"/>
      <c r="AP67" s="4"/>
    </row>
    <row r="68" customFormat="false" ht="1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14"/>
      <c r="O68" s="15"/>
      <c r="P68" s="16"/>
      <c r="Q68" s="4"/>
      <c r="R68" s="17"/>
      <c r="S68" s="18" t="str">
        <f aca="false">IF(OR(P68="",R68=""),"",P68*R68)</f>
        <v/>
      </c>
      <c r="T68" s="14"/>
      <c r="U68" s="14"/>
      <c r="V68" s="14"/>
      <c r="W68" s="14"/>
      <c r="X68" s="18" t="str">
        <f aca="false">IF(S68="","",S68+N(T68)+N(U68)+N(V68)+N(W68))</f>
        <v/>
      </c>
      <c r="Y68" s="4"/>
      <c r="Z68" s="15"/>
      <c r="AA68" s="14"/>
      <c r="AB68" s="19"/>
      <c r="AC68" s="4"/>
      <c r="AD68" s="15"/>
      <c r="AE68" s="14"/>
      <c r="AF68" s="14"/>
      <c r="AG68" s="14"/>
      <c r="AH68" s="18" t="str">
        <f aca="false">IF(AND(AC68="Sold",AE68&lt;&gt;"",AF68&lt;&gt;""),AE68-AF68,"")</f>
        <v/>
      </c>
      <c r="AI68" s="18" t="str">
        <f aca="false">IF(AND(AC68="Sold",AF68&lt;&gt;"",X68&lt;&gt;""),AF68-N(AG68)-X68,"")</f>
        <v/>
      </c>
      <c r="AJ68" s="20" t="str">
        <f aca="false">IF(AND(AI68&lt;&gt;"",N(AE68)&gt;0),AI68/AE68,"")</f>
        <v/>
      </c>
      <c r="AK68" s="20" t="str">
        <f aca="false">IF(AND(AI68&lt;&gt;"",N(X68)&gt;0),AI68/X68,"")</f>
        <v/>
      </c>
      <c r="AL68" s="21" t="str">
        <f aca="false">IF(AND(AC68="Sold",AD68&lt;&gt;"",Z68&lt;&gt;""),AD68-Z68,"")</f>
        <v/>
      </c>
      <c r="AM68" s="20" t="str">
        <f aca="false">IF(AND(AC68="Sold",N(AA68)&gt;0,AE68&lt;&gt;""),1-AE68/AA68,"")</f>
        <v/>
      </c>
      <c r="AN68" s="21" t="str">
        <f aca="true">IF(AND(AC68&lt;&gt;"Sold",AC68&lt;&gt;"",Z68&lt;&gt;""),TODAY()-Z68,"")</f>
        <v/>
      </c>
      <c r="AO68" s="4"/>
      <c r="AP68" s="4"/>
    </row>
    <row r="69" customFormat="false" ht="1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14"/>
      <c r="O69" s="15"/>
      <c r="P69" s="16"/>
      <c r="Q69" s="4"/>
      <c r="R69" s="17"/>
      <c r="S69" s="18" t="str">
        <f aca="false">IF(OR(P69="",R69=""),"",P69*R69)</f>
        <v/>
      </c>
      <c r="T69" s="14"/>
      <c r="U69" s="14"/>
      <c r="V69" s="14"/>
      <c r="W69" s="14"/>
      <c r="X69" s="18" t="str">
        <f aca="false">IF(S69="","",S69+N(T69)+N(U69)+N(V69)+N(W69))</f>
        <v/>
      </c>
      <c r="Y69" s="4"/>
      <c r="Z69" s="15"/>
      <c r="AA69" s="14"/>
      <c r="AB69" s="19"/>
      <c r="AC69" s="4"/>
      <c r="AD69" s="15"/>
      <c r="AE69" s="14"/>
      <c r="AF69" s="14"/>
      <c r="AG69" s="14"/>
      <c r="AH69" s="18" t="str">
        <f aca="false">IF(AND(AC69="Sold",AE69&lt;&gt;"",AF69&lt;&gt;""),AE69-AF69,"")</f>
        <v/>
      </c>
      <c r="AI69" s="18" t="str">
        <f aca="false">IF(AND(AC69="Sold",AF69&lt;&gt;"",X69&lt;&gt;""),AF69-N(AG69)-X69,"")</f>
        <v/>
      </c>
      <c r="AJ69" s="20" t="str">
        <f aca="false">IF(AND(AI69&lt;&gt;"",N(AE69)&gt;0),AI69/AE69,"")</f>
        <v/>
      </c>
      <c r="AK69" s="20" t="str">
        <f aca="false">IF(AND(AI69&lt;&gt;"",N(X69)&gt;0),AI69/X69,"")</f>
        <v/>
      </c>
      <c r="AL69" s="21" t="str">
        <f aca="false">IF(AND(AC69="Sold",AD69&lt;&gt;"",Z69&lt;&gt;""),AD69-Z69,"")</f>
        <v/>
      </c>
      <c r="AM69" s="20" t="str">
        <f aca="false">IF(AND(AC69="Sold",N(AA69)&gt;0,AE69&lt;&gt;""),1-AE69/AA69,"")</f>
        <v/>
      </c>
      <c r="AN69" s="21" t="str">
        <f aca="true">IF(AND(AC69&lt;&gt;"Sold",AC69&lt;&gt;"",Z69&lt;&gt;""),TODAY()-Z69,"")</f>
        <v/>
      </c>
      <c r="AO69" s="4"/>
      <c r="AP69" s="4"/>
    </row>
    <row r="70" customFormat="false" ht="1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14"/>
      <c r="O70" s="15"/>
      <c r="P70" s="16"/>
      <c r="Q70" s="4"/>
      <c r="R70" s="17"/>
      <c r="S70" s="18" t="str">
        <f aca="false">IF(OR(P70="",R70=""),"",P70*R70)</f>
        <v/>
      </c>
      <c r="T70" s="14"/>
      <c r="U70" s="14"/>
      <c r="V70" s="14"/>
      <c r="W70" s="14"/>
      <c r="X70" s="18" t="str">
        <f aca="false">IF(S70="","",S70+N(T70)+N(U70)+N(V70)+N(W70))</f>
        <v/>
      </c>
      <c r="Y70" s="4"/>
      <c r="Z70" s="15"/>
      <c r="AA70" s="14"/>
      <c r="AB70" s="19"/>
      <c r="AC70" s="4"/>
      <c r="AD70" s="15"/>
      <c r="AE70" s="14"/>
      <c r="AF70" s="14"/>
      <c r="AG70" s="14"/>
      <c r="AH70" s="18" t="str">
        <f aca="false">IF(AND(AC70="Sold",AE70&lt;&gt;"",AF70&lt;&gt;""),AE70-AF70,"")</f>
        <v/>
      </c>
      <c r="AI70" s="18" t="str">
        <f aca="false">IF(AND(AC70="Sold",AF70&lt;&gt;"",X70&lt;&gt;""),AF70-N(AG70)-X70,"")</f>
        <v/>
      </c>
      <c r="AJ70" s="20" t="str">
        <f aca="false">IF(AND(AI70&lt;&gt;"",N(AE70)&gt;0),AI70/AE70,"")</f>
        <v/>
      </c>
      <c r="AK70" s="20" t="str">
        <f aca="false">IF(AND(AI70&lt;&gt;"",N(X70)&gt;0),AI70/X70,"")</f>
        <v/>
      </c>
      <c r="AL70" s="21" t="str">
        <f aca="false">IF(AND(AC70="Sold",AD70&lt;&gt;"",Z70&lt;&gt;""),AD70-Z70,"")</f>
        <v/>
      </c>
      <c r="AM70" s="20" t="str">
        <f aca="false">IF(AND(AC70="Sold",N(AA70)&gt;0,AE70&lt;&gt;""),1-AE70/AA70,"")</f>
        <v/>
      </c>
      <c r="AN70" s="21" t="str">
        <f aca="true">IF(AND(AC70&lt;&gt;"Sold",AC70&lt;&gt;"",Z70&lt;&gt;""),TODAY()-Z70,"")</f>
        <v/>
      </c>
      <c r="AO70" s="4"/>
      <c r="AP70" s="4"/>
    </row>
    <row r="71" customFormat="false" ht="1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14"/>
      <c r="O71" s="15"/>
      <c r="P71" s="16"/>
      <c r="Q71" s="4"/>
      <c r="R71" s="17"/>
      <c r="S71" s="18" t="str">
        <f aca="false">IF(OR(P71="",R71=""),"",P71*R71)</f>
        <v/>
      </c>
      <c r="T71" s="14"/>
      <c r="U71" s="14"/>
      <c r="V71" s="14"/>
      <c r="W71" s="14"/>
      <c r="X71" s="18" t="str">
        <f aca="false">IF(S71="","",S71+N(T71)+N(U71)+N(V71)+N(W71))</f>
        <v/>
      </c>
      <c r="Y71" s="4"/>
      <c r="Z71" s="15"/>
      <c r="AA71" s="14"/>
      <c r="AB71" s="19"/>
      <c r="AC71" s="4"/>
      <c r="AD71" s="15"/>
      <c r="AE71" s="14"/>
      <c r="AF71" s="14"/>
      <c r="AG71" s="14"/>
      <c r="AH71" s="18" t="str">
        <f aca="false">IF(AND(AC71="Sold",AE71&lt;&gt;"",AF71&lt;&gt;""),AE71-AF71,"")</f>
        <v/>
      </c>
      <c r="AI71" s="18" t="str">
        <f aca="false">IF(AND(AC71="Sold",AF71&lt;&gt;"",X71&lt;&gt;""),AF71-N(AG71)-X71,"")</f>
        <v/>
      </c>
      <c r="AJ71" s="20" t="str">
        <f aca="false">IF(AND(AI71&lt;&gt;"",N(AE71)&gt;0),AI71/AE71,"")</f>
        <v/>
      </c>
      <c r="AK71" s="20" t="str">
        <f aca="false">IF(AND(AI71&lt;&gt;"",N(X71)&gt;0),AI71/X71,"")</f>
        <v/>
      </c>
      <c r="AL71" s="21" t="str">
        <f aca="false">IF(AND(AC71="Sold",AD71&lt;&gt;"",Z71&lt;&gt;""),AD71-Z71,"")</f>
        <v/>
      </c>
      <c r="AM71" s="20" t="str">
        <f aca="false">IF(AND(AC71="Sold",N(AA71)&gt;0,AE71&lt;&gt;""),1-AE71/AA71,"")</f>
        <v/>
      </c>
      <c r="AN71" s="21" t="str">
        <f aca="true">IF(AND(AC71&lt;&gt;"Sold",AC71&lt;&gt;"",Z71&lt;&gt;""),TODAY()-Z71,"")</f>
        <v/>
      </c>
      <c r="AO71" s="4"/>
      <c r="AP71" s="4"/>
    </row>
    <row r="72" customFormat="false" ht="1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14"/>
      <c r="O72" s="15"/>
      <c r="P72" s="16"/>
      <c r="Q72" s="4"/>
      <c r="R72" s="17"/>
      <c r="S72" s="18" t="str">
        <f aca="false">IF(OR(P72="",R72=""),"",P72*R72)</f>
        <v/>
      </c>
      <c r="T72" s="14"/>
      <c r="U72" s="14"/>
      <c r="V72" s="14"/>
      <c r="W72" s="14"/>
      <c r="X72" s="18" t="str">
        <f aca="false">IF(S72="","",S72+N(T72)+N(U72)+N(V72)+N(W72))</f>
        <v/>
      </c>
      <c r="Y72" s="4"/>
      <c r="Z72" s="15"/>
      <c r="AA72" s="14"/>
      <c r="AB72" s="19"/>
      <c r="AC72" s="4"/>
      <c r="AD72" s="15"/>
      <c r="AE72" s="14"/>
      <c r="AF72" s="14"/>
      <c r="AG72" s="14"/>
      <c r="AH72" s="18" t="str">
        <f aca="false">IF(AND(AC72="Sold",AE72&lt;&gt;"",AF72&lt;&gt;""),AE72-AF72,"")</f>
        <v/>
      </c>
      <c r="AI72" s="18" t="str">
        <f aca="false">IF(AND(AC72="Sold",AF72&lt;&gt;"",X72&lt;&gt;""),AF72-N(AG72)-X72,"")</f>
        <v/>
      </c>
      <c r="AJ72" s="20" t="str">
        <f aca="false">IF(AND(AI72&lt;&gt;"",N(AE72)&gt;0),AI72/AE72,"")</f>
        <v/>
      </c>
      <c r="AK72" s="20" t="str">
        <f aca="false">IF(AND(AI72&lt;&gt;"",N(X72)&gt;0),AI72/X72,"")</f>
        <v/>
      </c>
      <c r="AL72" s="21" t="str">
        <f aca="false">IF(AND(AC72="Sold",AD72&lt;&gt;"",Z72&lt;&gt;""),AD72-Z72,"")</f>
        <v/>
      </c>
      <c r="AM72" s="20" t="str">
        <f aca="false">IF(AND(AC72="Sold",N(AA72)&gt;0,AE72&lt;&gt;""),1-AE72/AA72,"")</f>
        <v/>
      </c>
      <c r="AN72" s="21" t="str">
        <f aca="true">IF(AND(AC72&lt;&gt;"Sold",AC72&lt;&gt;"",Z72&lt;&gt;""),TODAY()-Z72,"")</f>
        <v/>
      </c>
      <c r="AO72" s="4"/>
      <c r="AP72" s="4"/>
    </row>
    <row r="73" customFormat="false" ht="1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14"/>
      <c r="O73" s="15"/>
      <c r="P73" s="16"/>
      <c r="Q73" s="4"/>
      <c r="R73" s="17"/>
      <c r="S73" s="18" t="str">
        <f aca="false">IF(OR(P73="",R73=""),"",P73*R73)</f>
        <v/>
      </c>
      <c r="T73" s="14"/>
      <c r="U73" s="14"/>
      <c r="V73" s="14"/>
      <c r="W73" s="14"/>
      <c r="X73" s="18" t="str">
        <f aca="false">IF(S73="","",S73+N(T73)+N(U73)+N(V73)+N(W73))</f>
        <v/>
      </c>
      <c r="Y73" s="4"/>
      <c r="Z73" s="15"/>
      <c r="AA73" s="14"/>
      <c r="AB73" s="19"/>
      <c r="AC73" s="4"/>
      <c r="AD73" s="15"/>
      <c r="AE73" s="14"/>
      <c r="AF73" s="14"/>
      <c r="AG73" s="14"/>
      <c r="AH73" s="18" t="str">
        <f aca="false">IF(AND(AC73="Sold",AE73&lt;&gt;"",AF73&lt;&gt;""),AE73-AF73,"")</f>
        <v/>
      </c>
      <c r="AI73" s="18" t="str">
        <f aca="false">IF(AND(AC73="Sold",AF73&lt;&gt;"",X73&lt;&gt;""),AF73-N(AG73)-X73,"")</f>
        <v/>
      </c>
      <c r="AJ73" s="20" t="str">
        <f aca="false">IF(AND(AI73&lt;&gt;"",N(AE73)&gt;0),AI73/AE73,"")</f>
        <v/>
      </c>
      <c r="AK73" s="20" t="str">
        <f aca="false">IF(AND(AI73&lt;&gt;"",N(X73)&gt;0),AI73/X73,"")</f>
        <v/>
      </c>
      <c r="AL73" s="21" t="str">
        <f aca="false">IF(AND(AC73="Sold",AD73&lt;&gt;"",Z73&lt;&gt;""),AD73-Z73,"")</f>
        <v/>
      </c>
      <c r="AM73" s="20" t="str">
        <f aca="false">IF(AND(AC73="Sold",N(AA73)&gt;0,AE73&lt;&gt;""),1-AE73/AA73,"")</f>
        <v/>
      </c>
      <c r="AN73" s="21" t="str">
        <f aca="true">IF(AND(AC73&lt;&gt;"Sold",AC73&lt;&gt;"",Z73&lt;&gt;""),TODAY()-Z73,"")</f>
        <v/>
      </c>
      <c r="AO73" s="4"/>
      <c r="AP73" s="4"/>
    </row>
    <row r="74" customFormat="false" ht="1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14"/>
      <c r="O74" s="15"/>
      <c r="P74" s="16"/>
      <c r="Q74" s="4"/>
      <c r="R74" s="17"/>
      <c r="S74" s="18" t="str">
        <f aca="false">IF(OR(P74="",R74=""),"",P74*R74)</f>
        <v/>
      </c>
      <c r="T74" s="14"/>
      <c r="U74" s="14"/>
      <c r="V74" s="14"/>
      <c r="W74" s="14"/>
      <c r="X74" s="18" t="str">
        <f aca="false">IF(S74="","",S74+N(T74)+N(U74)+N(V74)+N(W74))</f>
        <v/>
      </c>
      <c r="Y74" s="4"/>
      <c r="Z74" s="15"/>
      <c r="AA74" s="14"/>
      <c r="AB74" s="19"/>
      <c r="AC74" s="4"/>
      <c r="AD74" s="15"/>
      <c r="AE74" s="14"/>
      <c r="AF74" s="14"/>
      <c r="AG74" s="14"/>
      <c r="AH74" s="18" t="str">
        <f aca="false">IF(AND(AC74="Sold",AE74&lt;&gt;"",AF74&lt;&gt;""),AE74-AF74,"")</f>
        <v/>
      </c>
      <c r="AI74" s="18" t="str">
        <f aca="false">IF(AND(AC74="Sold",AF74&lt;&gt;"",X74&lt;&gt;""),AF74-N(AG74)-X74,"")</f>
        <v/>
      </c>
      <c r="AJ74" s="20" t="str">
        <f aca="false">IF(AND(AI74&lt;&gt;"",N(AE74)&gt;0),AI74/AE74,"")</f>
        <v/>
      </c>
      <c r="AK74" s="20" t="str">
        <f aca="false">IF(AND(AI74&lt;&gt;"",N(X74)&gt;0),AI74/X74,"")</f>
        <v/>
      </c>
      <c r="AL74" s="21" t="str">
        <f aca="false">IF(AND(AC74="Sold",AD74&lt;&gt;"",Z74&lt;&gt;""),AD74-Z74,"")</f>
        <v/>
      </c>
      <c r="AM74" s="20" t="str">
        <f aca="false">IF(AND(AC74="Sold",N(AA74)&gt;0,AE74&lt;&gt;""),1-AE74/AA74,"")</f>
        <v/>
      </c>
      <c r="AN74" s="21" t="str">
        <f aca="true">IF(AND(AC74&lt;&gt;"Sold",AC74&lt;&gt;"",Z74&lt;&gt;""),TODAY()-Z74,"")</f>
        <v/>
      </c>
      <c r="AO74" s="4"/>
      <c r="AP74" s="4"/>
    </row>
    <row r="75" customFormat="false" ht="1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14"/>
      <c r="O75" s="15"/>
      <c r="P75" s="16"/>
      <c r="Q75" s="4"/>
      <c r="R75" s="17"/>
      <c r="S75" s="18" t="str">
        <f aca="false">IF(OR(P75="",R75=""),"",P75*R75)</f>
        <v/>
      </c>
      <c r="T75" s="14"/>
      <c r="U75" s="14"/>
      <c r="V75" s="14"/>
      <c r="W75" s="14"/>
      <c r="X75" s="18" t="str">
        <f aca="false">IF(S75="","",S75+N(T75)+N(U75)+N(V75)+N(W75))</f>
        <v/>
      </c>
      <c r="Y75" s="4"/>
      <c r="Z75" s="15"/>
      <c r="AA75" s="14"/>
      <c r="AB75" s="19"/>
      <c r="AC75" s="4"/>
      <c r="AD75" s="15"/>
      <c r="AE75" s="14"/>
      <c r="AF75" s="14"/>
      <c r="AG75" s="14"/>
      <c r="AH75" s="18" t="str">
        <f aca="false">IF(AND(AC75="Sold",AE75&lt;&gt;"",AF75&lt;&gt;""),AE75-AF75,"")</f>
        <v/>
      </c>
      <c r="AI75" s="18" t="str">
        <f aca="false">IF(AND(AC75="Sold",AF75&lt;&gt;"",X75&lt;&gt;""),AF75-N(AG75)-X75,"")</f>
        <v/>
      </c>
      <c r="AJ75" s="20" t="str">
        <f aca="false">IF(AND(AI75&lt;&gt;"",N(AE75)&gt;0),AI75/AE75,"")</f>
        <v/>
      </c>
      <c r="AK75" s="20" t="str">
        <f aca="false">IF(AND(AI75&lt;&gt;"",N(X75)&gt;0),AI75/X75,"")</f>
        <v/>
      </c>
      <c r="AL75" s="21" t="str">
        <f aca="false">IF(AND(AC75="Sold",AD75&lt;&gt;"",Z75&lt;&gt;""),AD75-Z75,"")</f>
        <v/>
      </c>
      <c r="AM75" s="20" t="str">
        <f aca="false">IF(AND(AC75="Sold",N(AA75)&gt;0,AE75&lt;&gt;""),1-AE75/AA75,"")</f>
        <v/>
      </c>
      <c r="AN75" s="21" t="str">
        <f aca="true">IF(AND(AC75&lt;&gt;"Sold",AC75&lt;&gt;"",Z75&lt;&gt;""),TODAY()-Z75,"")</f>
        <v/>
      </c>
      <c r="AO75" s="4"/>
      <c r="AP75" s="4"/>
    </row>
    <row r="76" customFormat="false" ht="1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14"/>
      <c r="O76" s="15"/>
      <c r="P76" s="16"/>
      <c r="Q76" s="4"/>
      <c r="R76" s="17"/>
      <c r="S76" s="18" t="str">
        <f aca="false">IF(OR(P76="",R76=""),"",P76*R76)</f>
        <v/>
      </c>
      <c r="T76" s="14"/>
      <c r="U76" s="14"/>
      <c r="V76" s="14"/>
      <c r="W76" s="14"/>
      <c r="X76" s="18" t="str">
        <f aca="false">IF(S76="","",S76+N(T76)+N(U76)+N(V76)+N(W76))</f>
        <v/>
      </c>
      <c r="Y76" s="4"/>
      <c r="Z76" s="15"/>
      <c r="AA76" s="14"/>
      <c r="AB76" s="19"/>
      <c r="AC76" s="4"/>
      <c r="AD76" s="15"/>
      <c r="AE76" s="14"/>
      <c r="AF76" s="14"/>
      <c r="AG76" s="14"/>
      <c r="AH76" s="18" t="str">
        <f aca="false">IF(AND(AC76="Sold",AE76&lt;&gt;"",AF76&lt;&gt;""),AE76-AF76,"")</f>
        <v/>
      </c>
      <c r="AI76" s="18" t="str">
        <f aca="false">IF(AND(AC76="Sold",AF76&lt;&gt;"",X76&lt;&gt;""),AF76-N(AG76)-X76,"")</f>
        <v/>
      </c>
      <c r="AJ76" s="20" t="str">
        <f aca="false">IF(AND(AI76&lt;&gt;"",N(AE76)&gt;0),AI76/AE76,"")</f>
        <v/>
      </c>
      <c r="AK76" s="20" t="str">
        <f aca="false">IF(AND(AI76&lt;&gt;"",N(X76)&gt;0),AI76/X76,"")</f>
        <v/>
      </c>
      <c r="AL76" s="21" t="str">
        <f aca="false">IF(AND(AC76="Sold",AD76&lt;&gt;"",Z76&lt;&gt;""),AD76-Z76,"")</f>
        <v/>
      </c>
      <c r="AM76" s="20" t="str">
        <f aca="false">IF(AND(AC76="Sold",N(AA76)&gt;0,AE76&lt;&gt;""),1-AE76/AA76,"")</f>
        <v/>
      </c>
      <c r="AN76" s="21" t="str">
        <f aca="true">IF(AND(AC76&lt;&gt;"Sold",AC76&lt;&gt;"",Z76&lt;&gt;""),TODAY()-Z76,"")</f>
        <v/>
      </c>
      <c r="AO76" s="4"/>
      <c r="AP76" s="4"/>
    </row>
    <row r="77" customFormat="false" ht="1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14"/>
      <c r="O77" s="15"/>
      <c r="P77" s="16"/>
      <c r="Q77" s="4"/>
      <c r="R77" s="17"/>
      <c r="S77" s="18" t="str">
        <f aca="false">IF(OR(P77="",R77=""),"",P77*R77)</f>
        <v/>
      </c>
      <c r="T77" s="14"/>
      <c r="U77" s="14"/>
      <c r="V77" s="14"/>
      <c r="W77" s="14"/>
      <c r="X77" s="18" t="str">
        <f aca="false">IF(S77="","",S77+N(T77)+N(U77)+N(V77)+N(W77))</f>
        <v/>
      </c>
      <c r="Y77" s="4"/>
      <c r="Z77" s="15"/>
      <c r="AA77" s="14"/>
      <c r="AB77" s="19"/>
      <c r="AC77" s="4"/>
      <c r="AD77" s="15"/>
      <c r="AE77" s="14"/>
      <c r="AF77" s="14"/>
      <c r="AG77" s="14"/>
      <c r="AH77" s="18" t="str">
        <f aca="false">IF(AND(AC77="Sold",AE77&lt;&gt;"",AF77&lt;&gt;""),AE77-AF77,"")</f>
        <v/>
      </c>
      <c r="AI77" s="18" t="str">
        <f aca="false">IF(AND(AC77="Sold",AF77&lt;&gt;"",X77&lt;&gt;""),AF77-N(AG77)-X77,"")</f>
        <v/>
      </c>
      <c r="AJ77" s="20" t="str">
        <f aca="false">IF(AND(AI77&lt;&gt;"",N(AE77)&gt;0),AI77/AE77,"")</f>
        <v/>
      </c>
      <c r="AK77" s="20" t="str">
        <f aca="false">IF(AND(AI77&lt;&gt;"",N(X77)&gt;0),AI77/X77,"")</f>
        <v/>
      </c>
      <c r="AL77" s="21" t="str">
        <f aca="false">IF(AND(AC77="Sold",AD77&lt;&gt;"",Z77&lt;&gt;""),AD77-Z77,"")</f>
        <v/>
      </c>
      <c r="AM77" s="20" t="str">
        <f aca="false">IF(AND(AC77="Sold",N(AA77)&gt;0,AE77&lt;&gt;""),1-AE77/AA77,"")</f>
        <v/>
      </c>
      <c r="AN77" s="21" t="str">
        <f aca="true">IF(AND(AC77&lt;&gt;"Sold",AC77&lt;&gt;"",Z77&lt;&gt;""),TODAY()-Z77,"")</f>
        <v/>
      </c>
      <c r="AO77" s="4"/>
      <c r="AP77" s="4"/>
    </row>
    <row r="78" customFormat="false" ht="1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14"/>
      <c r="O78" s="15"/>
      <c r="P78" s="16"/>
      <c r="Q78" s="4"/>
      <c r="R78" s="17"/>
      <c r="S78" s="18" t="str">
        <f aca="false">IF(OR(P78="",R78=""),"",P78*R78)</f>
        <v/>
      </c>
      <c r="T78" s="14"/>
      <c r="U78" s="14"/>
      <c r="V78" s="14"/>
      <c r="W78" s="14"/>
      <c r="X78" s="18" t="str">
        <f aca="false">IF(S78="","",S78+N(T78)+N(U78)+N(V78)+N(W78))</f>
        <v/>
      </c>
      <c r="Y78" s="4"/>
      <c r="Z78" s="15"/>
      <c r="AA78" s="14"/>
      <c r="AB78" s="19"/>
      <c r="AC78" s="4"/>
      <c r="AD78" s="15"/>
      <c r="AE78" s="14"/>
      <c r="AF78" s="14"/>
      <c r="AG78" s="14"/>
      <c r="AH78" s="18" t="str">
        <f aca="false">IF(AND(AC78="Sold",AE78&lt;&gt;"",AF78&lt;&gt;""),AE78-AF78,"")</f>
        <v/>
      </c>
      <c r="AI78" s="18" t="str">
        <f aca="false">IF(AND(AC78="Sold",AF78&lt;&gt;"",X78&lt;&gt;""),AF78-N(AG78)-X78,"")</f>
        <v/>
      </c>
      <c r="AJ78" s="20" t="str">
        <f aca="false">IF(AND(AI78&lt;&gt;"",N(AE78)&gt;0),AI78/AE78,"")</f>
        <v/>
      </c>
      <c r="AK78" s="20" t="str">
        <f aca="false">IF(AND(AI78&lt;&gt;"",N(X78)&gt;0),AI78/X78,"")</f>
        <v/>
      </c>
      <c r="AL78" s="21" t="str">
        <f aca="false">IF(AND(AC78="Sold",AD78&lt;&gt;"",Z78&lt;&gt;""),AD78-Z78,"")</f>
        <v/>
      </c>
      <c r="AM78" s="20" t="str">
        <f aca="false">IF(AND(AC78="Sold",N(AA78)&gt;0,AE78&lt;&gt;""),1-AE78/AA78,"")</f>
        <v/>
      </c>
      <c r="AN78" s="21" t="str">
        <f aca="true">IF(AND(AC78&lt;&gt;"Sold",AC78&lt;&gt;"",Z78&lt;&gt;""),TODAY()-Z78,"")</f>
        <v/>
      </c>
      <c r="AO78" s="4"/>
      <c r="AP78" s="4"/>
    </row>
    <row r="79" customFormat="false" ht="1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14"/>
      <c r="O79" s="15"/>
      <c r="P79" s="16"/>
      <c r="Q79" s="4"/>
      <c r="R79" s="17"/>
      <c r="S79" s="18" t="str">
        <f aca="false">IF(OR(P79="",R79=""),"",P79*R79)</f>
        <v/>
      </c>
      <c r="T79" s="14"/>
      <c r="U79" s="14"/>
      <c r="V79" s="14"/>
      <c r="W79" s="14"/>
      <c r="X79" s="18" t="str">
        <f aca="false">IF(S79="","",S79+N(T79)+N(U79)+N(V79)+N(W79))</f>
        <v/>
      </c>
      <c r="Y79" s="4"/>
      <c r="Z79" s="15"/>
      <c r="AA79" s="14"/>
      <c r="AB79" s="19"/>
      <c r="AC79" s="4"/>
      <c r="AD79" s="15"/>
      <c r="AE79" s="14"/>
      <c r="AF79" s="14"/>
      <c r="AG79" s="14"/>
      <c r="AH79" s="18" t="str">
        <f aca="false">IF(AND(AC79="Sold",AE79&lt;&gt;"",AF79&lt;&gt;""),AE79-AF79,"")</f>
        <v/>
      </c>
      <c r="AI79" s="18" t="str">
        <f aca="false">IF(AND(AC79="Sold",AF79&lt;&gt;"",X79&lt;&gt;""),AF79-N(AG79)-X79,"")</f>
        <v/>
      </c>
      <c r="AJ79" s="20" t="str">
        <f aca="false">IF(AND(AI79&lt;&gt;"",N(AE79)&gt;0),AI79/AE79,"")</f>
        <v/>
      </c>
      <c r="AK79" s="20" t="str">
        <f aca="false">IF(AND(AI79&lt;&gt;"",N(X79)&gt;0),AI79/X79,"")</f>
        <v/>
      </c>
      <c r="AL79" s="21" t="str">
        <f aca="false">IF(AND(AC79="Sold",AD79&lt;&gt;"",Z79&lt;&gt;""),AD79-Z79,"")</f>
        <v/>
      </c>
      <c r="AM79" s="20" t="str">
        <f aca="false">IF(AND(AC79="Sold",N(AA79)&gt;0,AE79&lt;&gt;""),1-AE79/AA79,"")</f>
        <v/>
      </c>
      <c r="AN79" s="21" t="str">
        <f aca="true">IF(AND(AC79&lt;&gt;"Sold",AC79&lt;&gt;"",Z79&lt;&gt;""),TODAY()-Z79,"")</f>
        <v/>
      </c>
      <c r="AO79" s="4"/>
      <c r="AP79" s="4"/>
    </row>
    <row r="80" customFormat="false" ht="1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14"/>
      <c r="O80" s="15"/>
      <c r="P80" s="16"/>
      <c r="Q80" s="4"/>
      <c r="R80" s="17"/>
      <c r="S80" s="18" t="str">
        <f aca="false">IF(OR(P80="",R80=""),"",P80*R80)</f>
        <v/>
      </c>
      <c r="T80" s="14"/>
      <c r="U80" s="14"/>
      <c r="V80" s="14"/>
      <c r="W80" s="14"/>
      <c r="X80" s="18" t="str">
        <f aca="false">IF(S80="","",S80+N(T80)+N(U80)+N(V80)+N(W80))</f>
        <v/>
      </c>
      <c r="Y80" s="4"/>
      <c r="Z80" s="15"/>
      <c r="AA80" s="14"/>
      <c r="AB80" s="19"/>
      <c r="AC80" s="4"/>
      <c r="AD80" s="15"/>
      <c r="AE80" s="14"/>
      <c r="AF80" s="14"/>
      <c r="AG80" s="14"/>
      <c r="AH80" s="18" t="str">
        <f aca="false">IF(AND(AC80="Sold",AE80&lt;&gt;"",AF80&lt;&gt;""),AE80-AF80,"")</f>
        <v/>
      </c>
      <c r="AI80" s="18" t="str">
        <f aca="false">IF(AND(AC80="Sold",AF80&lt;&gt;"",X80&lt;&gt;""),AF80-N(AG80)-X80,"")</f>
        <v/>
      </c>
      <c r="AJ80" s="20" t="str">
        <f aca="false">IF(AND(AI80&lt;&gt;"",N(AE80)&gt;0),AI80/AE80,"")</f>
        <v/>
      </c>
      <c r="AK80" s="20" t="str">
        <f aca="false">IF(AND(AI80&lt;&gt;"",N(X80)&gt;0),AI80/X80,"")</f>
        <v/>
      </c>
      <c r="AL80" s="21" t="str">
        <f aca="false">IF(AND(AC80="Sold",AD80&lt;&gt;"",Z80&lt;&gt;""),AD80-Z80,"")</f>
        <v/>
      </c>
      <c r="AM80" s="20" t="str">
        <f aca="false">IF(AND(AC80="Sold",N(AA80)&gt;0,AE80&lt;&gt;""),1-AE80/AA80,"")</f>
        <v/>
      </c>
      <c r="AN80" s="21" t="str">
        <f aca="true">IF(AND(AC80&lt;&gt;"Sold",AC80&lt;&gt;"",Z80&lt;&gt;""),TODAY()-Z80,"")</f>
        <v/>
      </c>
      <c r="AO80" s="4"/>
      <c r="AP80" s="4"/>
    </row>
    <row r="81" customFormat="false" ht="1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14"/>
      <c r="O81" s="15"/>
      <c r="P81" s="16"/>
      <c r="Q81" s="4"/>
      <c r="R81" s="17"/>
      <c r="S81" s="18" t="str">
        <f aca="false">IF(OR(P81="",R81=""),"",P81*R81)</f>
        <v/>
      </c>
      <c r="T81" s="14"/>
      <c r="U81" s="14"/>
      <c r="V81" s="14"/>
      <c r="W81" s="14"/>
      <c r="X81" s="18" t="str">
        <f aca="false">IF(S81="","",S81+N(T81)+N(U81)+N(V81)+N(W81))</f>
        <v/>
      </c>
      <c r="Y81" s="4"/>
      <c r="Z81" s="15"/>
      <c r="AA81" s="14"/>
      <c r="AB81" s="19"/>
      <c r="AC81" s="4"/>
      <c r="AD81" s="15"/>
      <c r="AE81" s="14"/>
      <c r="AF81" s="14"/>
      <c r="AG81" s="14"/>
      <c r="AH81" s="18" t="str">
        <f aca="false">IF(AND(AC81="Sold",AE81&lt;&gt;"",AF81&lt;&gt;""),AE81-AF81,"")</f>
        <v/>
      </c>
      <c r="AI81" s="18" t="str">
        <f aca="false">IF(AND(AC81="Sold",AF81&lt;&gt;"",X81&lt;&gt;""),AF81-N(AG81)-X81,"")</f>
        <v/>
      </c>
      <c r="AJ81" s="20" t="str">
        <f aca="false">IF(AND(AI81&lt;&gt;"",N(AE81)&gt;0),AI81/AE81,"")</f>
        <v/>
      </c>
      <c r="AK81" s="20" t="str">
        <f aca="false">IF(AND(AI81&lt;&gt;"",N(X81)&gt;0),AI81/X81,"")</f>
        <v/>
      </c>
      <c r="AL81" s="21" t="str">
        <f aca="false">IF(AND(AC81="Sold",AD81&lt;&gt;"",Z81&lt;&gt;""),AD81-Z81,"")</f>
        <v/>
      </c>
      <c r="AM81" s="20" t="str">
        <f aca="false">IF(AND(AC81="Sold",N(AA81)&gt;0,AE81&lt;&gt;""),1-AE81/AA81,"")</f>
        <v/>
      </c>
      <c r="AN81" s="21" t="str">
        <f aca="true">IF(AND(AC81&lt;&gt;"Sold",AC81&lt;&gt;"",Z81&lt;&gt;""),TODAY()-Z81,"")</f>
        <v/>
      </c>
      <c r="AO81" s="4"/>
      <c r="AP81" s="4"/>
    </row>
    <row r="82" customFormat="false" ht="1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14"/>
      <c r="O82" s="15"/>
      <c r="P82" s="16"/>
      <c r="Q82" s="4"/>
      <c r="R82" s="17"/>
      <c r="S82" s="18" t="str">
        <f aca="false">IF(OR(P82="",R82=""),"",P82*R82)</f>
        <v/>
      </c>
      <c r="T82" s="14"/>
      <c r="U82" s="14"/>
      <c r="V82" s="14"/>
      <c r="W82" s="14"/>
      <c r="X82" s="18" t="str">
        <f aca="false">IF(S82="","",S82+N(T82)+N(U82)+N(V82)+N(W82))</f>
        <v/>
      </c>
      <c r="Y82" s="4"/>
      <c r="Z82" s="15"/>
      <c r="AA82" s="14"/>
      <c r="AB82" s="19"/>
      <c r="AC82" s="4"/>
      <c r="AD82" s="15"/>
      <c r="AE82" s="14"/>
      <c r="AF82" s="14"/>
      <c r="AG82" s="14"/>
      <c r="AH82" s="18" t="str">
        <f aca="false">IF(AND(AC82="Sold",AE82&lt;&gt;"",AF82&lt;&gt;""),AE82-AF82,"")</f>
        <v/>
      </c>
      <c r="AI82" s="18" t="str">
        <f aca="false">IF(AND(AC82="Sold",AF82&lt;&gt;"",X82&lt;&gt;""),AF82-N(AG82)-X82,"")</f>
        <v/>
      </c>
      <c r="AJ82" s="20" t="str">
        <f aca="false">IF(AND(AI82&lt;&gt;"",N(AE82)&gt;0),AI82/AE82,"")</f>
        <v/>
      </c>
      <c r="AK82" s="20" t="str">
        <f aca="false">IF(AND(AI82&lt;&gt;"",N(X82)&gt;0),AI82/X82,"")</f>
        <v/>
      </c>
      <c r="AL82" s="21" t="str">
        <f aca="false">IF(AND(AC82="Sold",AD82&lt;&gt;"",Z82&lt;&gt;""),AD82-Z82,"")</f>
        <v/>
      </c>
      <c r="AM82" s="20" t="str">
        <f aca="false">IF(AND(AC82="Sold",N(AA82)&gt;0,AE82&lt;&gt;""),1-AE82/AA82,"")</f>
        <v/>
      </c>
      <c r="AN82" s="21" t="str">
        <f aca="true">IF(AND(AC82&lt;&gt;"Sold",AC82&lt;&gt;"",Z82&lt;&gt;""),TODAY()-Z82,"")</f>
        <v/>
      </c>
      <c r="AO82" s="4"/>
      <c r="AP82" s="4"/>
    </row>
    <row r="83" customFormat="false" ht="1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14"/>
      <c r="O83" s="15"/>
      <c r="P83" s="16"/>
      <c r="Q83" s="4"/>
      <c r="R83" s="17"/>
      <c r="S83" s="18" t="str">
        <f aca="false">IF(OR(P83="",R83=""),"",P83*R83)</f>
        <v/>
      </c>
      <c r="T83" s="14"/>
      <c r="U83" s="14"/>
      <c r="V83" s="14"/>
      <c r="W83" s="14"/>
      <c r="X83" s="18" t="str">
        <f aca="false">IF(S83="","",S83+N(T83)+N(U83)+N(V83)+N(W83))</f>
        <v/>
      </c>
      <c r="Y83" s="4"/>
      <c r="Z83" s="15"/>
      <c r="AA83" s="14"/>
      <c r="AB83" s="19"/>
      <c r="AC83" s="4"/>
      <c r="AD83" s="15"/>
      <c r="AE83" s="14"/>
      <c r="AF83" s="14"/>
      <c r="AG83" s="14"/>
      <c r="AH83" s="18" t="str">
        <f aca="false">IF(AND(AC83="Sold",AE83&lt;&gt;"",AF83&lt;&gt;""),AE83-AF83,"")</f>
        <v/>
      </c>
      <c r="AI83" s="18" t="str">
        <f aca="false">IF(AND(AC83="Sold",AF83&lt;&gt;"",X83&lt;&gt;""),AF83-N(AG83)-X83,"")</f>
        <v/>
      </c>
      <c r="AJ83" s="20" t="str">
        <f aca="false">IF(AND(AI83&lt;&gt;"",N(AE83)&gt;0),AI83/AE83,"")</f>
        <v/>
      </c>
      <c r="AK83" s="20" t="str">
        <f aca="false">IF(AND(AI83&lt;&gt;"",N(X83)&gt;0),AI83/X83,"")</f>
        <v/>
      </c>
      <c r="AL83" s="21" t="str">
        <f aca="false">IF(AND(AC83="Sold",AD83&lt;&gt;"",Z83&lt;&gt;""),AD83-Z83,"")</f>
        <v/>
      </c>
      <c r="AM83" s="20" t="str">
        <f aca="false">IF(AND(AC83="Sold",N(AA83)&gt;0,AE83&lt;&gt;""),1-AE83/AA83,"")</f>
        <v/>
      </c>
      <c r="AN83" s="21" t="str">
        <f aca="true">IF(AND(AC83&lt;&gt;"Sold",AC83&lt;&gt;"",Z83&lt;&gt;""),TODAY()-Z83,"")</f>
        <v/>
      </c>
      <c r="AO83" s="4"/>
      <c r="AP83" s="4"/>
    </row>
    <row r="84" customFormat="false" ht="1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14"/>
      <c r="O84" s="15"/>
      <c r="P84" s="16"/>
      <c r="Q84" s="4"/>
      <c r="R84" s="17"/>
      <c r="S84" s="18" t="str">
        <f aca="false">IF(OR(P84="",R84=""),"",P84*R84)</f>
        <v/>
      </c>
      <c r="T84" s="14"/>
      <c r="U84" s="14"/>
      <c r="V84" s="14"/>
      <c r="W84" s="14"/>
      <c r="X84" s="18" t="str">
        <f aca="false">IF(S84="","",S84+N(T84)+N(U84)+N(V84)+N(W84))</f>
        <v/>
      </c>
      <c r="Y84" s="4"/>
      <c r="Z84" s="15"/>
      <c r="AA84" s="14"/>
      <c r="AB84" s="19"/>
      <c r="AC84" s="4"/>
      <c r="AD84" s="15"/>
      <c r="AE84" s="14"/>
      <c r="AF84" s="14"/>
      <c r="AG84" s="14"/>
      <c r="AH84" s="18" t="str">
        <f aca="false">IF(AND(AC84="Sold",AE84&lt;&gt;"",AF84&lt;&gt;""),AE84-AF84,"")</f>
        <v/>
      </c>
      <c r="AI84" s="18" t="str">
        <f aca="false">IF(AND(AC84="Sold",AF84&lt;&gt;"",X84&lt;&gt;""),AF84-N(AG84)-X84,"")</f>
        <v/>
      </c>
      <c r="AJ84" s="20" t="str">
        <f aca="false">IF(AND(AI84&lt;&gt;"",N(AE84)&gt;0),AI84/AE84,"")</f>
        <v/>
      </c>
      <c r="AK84" s="20" t="str">
        <f aca="false">IF(AND(AI84&lt;&gt;"",N(X84)&gt;0),AI84/X84,"")</f>
        <v/>
      </c>
      <c r="AL84" s="21" t="str">
        <f aca="false">IF(AND(AC84="Sold",AD84&lt;&gt;"",Z84&lt;&gt;""),AD84-Z84,"")</f>
        <v/>
      </c>
      <c r="AM84" s="20" t="str">
        <f aca="false">IF(AND(AC84="Sold",N(AA84)&gt;0,AE84&lt;&gt;""),1-AE84/AA84,"")</f>
        <v/>
      </c>
      <c r="AN84" s="21" t="str">
        <f aca="true">IF(AND(AC84&lt;&gt;"Sold",AC84&lt;&gt;"",Z84&lt;&gt;""),TODAY()-Z84,"")</f>
        <v/>
      </c>
      <c r="AO84" s="4"/>
      <c r="AP84" s="4"/>
    </row>
    <row r="85" customFormat="false" ht="1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14"/>
      <c r="O85" s="15"/>
      <c r="P85" s="16"/>
      <c r="Q85" s="4"/>
      <c r="R85" s="17"/>
      <c r="S85" s="18" t="str">
        <f aca="false">IF(OR(P85="",R85=""),"",P85*R85)</f>
        <v/>
      </c>
      <c r="T85" s="14"/>
      <c r="U85" s="14"/>
      <c r="V85" s="14"/>
      <c r="W85" s="14"/>
      <c r="X85" s="18" t="str">
        <f aca="false">IF(S85="","",S85+N(T85)+N(U85)+N(V85)+N(W85))</f>
        <v/>
      </c>
      <c r="Y85" s="4"/>
      <c r="Z85" s="15"/>
      <c r="AA85" s="14"/>
      <c r="AB85" s="19"/>
      <c r="AC85" s="4"/>
      <c r="AD85" s="15"/>
      <c r="AE85" s="14"/>
      <c r="AF85" s="14"/>
      <c r="AG85" s="14"/>
      <c r="AH85" s="18" t="str">
        <f aca="false">IF(AND(AC85="Sold",AE85&lt;&gt;"",AF85&lt;&gt;""),AE85-AF85,"")</f>
        <v/>
      </c>
      <c r="AI85" s="18" t="str">
        <f aca="false">IF(AND(AC85="Sold",AF85&lt;&gt;"",X85&lt;&gt;""),AF85-N(AG85)-X85,"")</f>
        <v/>
      </c>
      <c r="AJ85" s="20" t="str">
        <f aca="false">IF(AND(AI85&lt;&gt;"",N(AE85)&gt;0),AI85/AE85,"")</f>
        <v/>
      </c>
      <c r="AK85" s="20" t="str">
        <f aca="false">IF(AND(AI85&lt;&gt;"",N(X85)&gt;0),AI85/X85,"")</f>
        <v/>
      </c>
      <c r="AL85" s="21" t="str">
        <f aca="false">IF(AND(AC85="Sold",AD85&lt;&gt;"",Z85&lt;&gt;""),AD85-Z85,"")</f>
        <v/>
      </c>
      <c r="AM85" s="20" t="str">
        <f aca="false">IF(AND(AC85="Sold",N(AA85)&gt;0,AE85&lt;&gt;""),1-AE85/AA85,"")</f>
        <v/>
      </c>
      <c r="AN85" s="21" t="str">
        <f aca="true">IF(AND(AC85&lt;&gt;"Sold",AC85&lt;&gt;"",Z85&lt;&gt;""),TODAY()-Z85,"")</f>
        <v/>
      </c>
      <c r="AO85" s="4"/>
      <c r="AP85" s="4"/>
    </row>
    <row r="86" customFormat="false" ht="1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14"/>
      <c r="O86" s="15"/>
      <c r="P86" s="16"/>
      <c r="Q86" s="4"/>
      <c r="R86" s="17"/>
      <c r="S86" s="18" t="str">
        <f aca="false">IF(OR(P86="",R86=""),"",P86*R86)</f>
        <v/>
      </c>
      <c r="T86" s="14"/>
      <c r="U86" s="14"/>
      <c r="V86" s="14"/>
      <c r="W86" s="14"/>
      <c r="X86" s="18" t="str">
        <f aca="false">IF(S86="","",S86+N(T86)+N(U86)+N(V86)+N(W86))</f>
        <v/>
      </c>
      <c r="Y86" s="4"/>
      <c r="Z86" s="15"/>
      <c r="AA86" s="14"/>
      <c r="AB86" s="19"/>
      <c r="AC86" s="4"/>
      <c r="AD86" s="15"/>
      <c r="AE86" s="14"/>
      <c r="AF86" s="14"/>
      <c r="AG86" s="14"/>
      <c r="AH86" s="18" t="str">
        <f aca="false">IF(AND(AC86="Sold",AE86&lt;&gt;"",AF86&lt;&gt;""),AE86-AF86,"")</f>
        <v/>
      </c>
      <c r="AI86" s="18" t="str">
        <f aca="false">IF(AND(AC86="Sold",AF86&lt;&gt;"",X86&lt;&gt;""),AF86-N(AG86)-X86,"")</f>
        <v/>
      </c>
      <c r="AJ86" s="20" t="str">
        <f aca="false">IF(AND(AI86&lt;&gt;"",N(AE86)&gt;0),AI86/AE86,"")</f>
        <v/>
      </c>
      <c r="AK86" s="20" t="str">
        <f aca="false">IF(AND(AI86&lt;&gt;"",N(X86)&gt;0),AI86/X86,"")</f>
        <v/>
      </c>
      <c r="AL86" s="21" t="str">
        <f aca="false">IF(AND(AC86="Sold",AD86&lt;&gt;"",Z86&lt;&gt;""),AD86-Z86,"")</f>
        <v/>
      </c>
      <c r="AM86" s="20" t="str">
        <f aca="false">IF(AND(AC86="Sold",N(AA86)&gt;0,AE86&lt;&gt;""),1-AE86/AA86,"")</f>
        <v/>
      </c>
      <c r="AN86" s="21" t="str">
        <f aca="true">IF(AND(AC86&lt;&gt;"Sold",AC86&lt;&gt;"",Z86&lt;&gt;""),TODAY()-Z86,"")</f>
        <v/>
      </c>
      <c r="AO86" s="4"/>
      <c r="AP86" s="4"/>
    </row>
    <row r="87" customFormat="false" ht="1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14"/>
      <c r="O87" s="15"/>
      <c r="P87" s="16"/>
      <c r="Q87" s="4"/>
      <c r="R87" s="17"/>
      <c r="S87" s="18" t="str">
        <f aca="false">IF(OR(P87="",R87=""),"",P87*R87)</f>
        <v/>
      </c>
      <c r="T87" s="14"/>
      <c r="U87" s="14"/>
      <c r="V87" s="14"/>
      <c r="W87" s="14"/>
      <c r="X87" s="18" t="str">
        <f aca="false">IF(S87="","",S87+N(T87)+N(U87)+N(V87)+N(W87))</f>
        <v/>
      </c>
      <c r="Y87" s="4"/>
      <c r="Z87" s="15"/>
      <c r="AA87" s="14"/>
      <c r="AB87" s="19"/>
      <c r="AC87" s="4"/>
      <c r="AD87" s="15"/>
      <c r="AE87" s="14"/>
      <c r="AF87" s="14"/>
      <c r="AG87" s="14"/>
      <c r="AH87" s="18" t="str">
        <f aca="false">IF(AND(AC87="Sold",AE87&lt;&gt;"",AF87&lt;&gt;""),AE87-AF87,"")</f>
        <v/>
      </c>
      <c r="AI87" s="18" t="str">
        <f aca="false">IF(AND(AC87="Sold",AF87&lt;&gt;"",X87&lt;&gt;""),AF87-N(AG87)-X87,"")</f>
        <v/>
      </c>
      <c r="AJ87" s="20" t="str">
        <f aca="false">IF(AND(AI87&lt;&gt;"",N(AE87)&gt;0),AI87/AE87,"")</f>
        <v/>
      </c>
      <c r="AK87" s="20" t="str">
        <f aca="false">IF(AND(AI87&lt;&gt;"",N(X87)&gt;0),AI87/X87,"")</f>
        <v/>
      </c>
      <c r="AL87" s="21" t="str">
        <f aca="false">IF(AND(AC87="Sold",AD87&lt;&gt;"",Z87&lt;&gt;""),AD87-Z87,"")</f>
        <v/>
      </c>
      <c r="AM87" s="20" t="str">
        <f aca="false">IF(AND(AC87="Sold",N(AA87)&gt;0,AE87&lt;&gt;""),1-AE87/AA87,"")</f>
        <v/>
      </c>
      <c r="AN87" s="21" t="str">
        <f aca="true">IF(AND(AC87&lt;&gt;"Sold",AC87&lt;&gt;"",Z87&lt;&gt;""),TODAY()-Z87,"")</f>
        <v/>
      </c>
      <c r="AO87" s="4"/>
      <c r="AP87" s="4"/>
    </row>
    <row r="88" customFormat="false" ht="1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14"/>
      <c r="O88" s="15"/>
      <c r="P88" s="16"/>
      <c r="Q88" s="4"/>
      <c r="R88" s="17"/>
      <c r="S88" s="18" t="str">
        <f aca="false">IF(OR(P88="",R88=""),"",P88*R88)</f>
        <v/>
      </c>
      <c r="T88" s="14"/>
      <c r="U88" s="14"/>
      <c r="V88" s="14"/>
      <c r="W88" s="14"/>
      <c r="X88" s="18" t="str">
        <f aca="false">IF(S88="","",S88+N(T88)+N(U88)+N(V88)+N(W88))</f>
        <v/>
      </c>
      <c r="Y88" s="4"/>
      <c r="Z88" s="15"/>
      <c r="AA88" s="14"/>
      <c r="AB88" s="19"/>
      <c r="AC88" s="4"/>
      <c r="AD88" s="15"/>
      <c r="AE88" s="14"/>
      <c r="AF88" s="14"/>
      <c r="AG88" s="14"/>
      <c r="AH88" s="18" t="str">
        <f aca="false">IF(AND(AC88="Sold",AE88&lt;&gt;"",AF88&lt;&gt;""),AE88-AF88,"")</f>
        <v/>
      </c>
      <c r="AI88" s="18" t="str">
        <f aca="false">IF(AND(AC88="Sold",AF88&lt;&gt;"",X88&lt;&gt;""),AF88-N(AG88)-X88,"")</f>
        <v/>
      </c>
      <c r="AJ88" s="20" t="str">
        <f aca="false">IF(AND(AI88&lt;&gt;"",N(AE88)&gt;0),AI88/AE88,"")</f>
        <v/>
      </c>
      <c r="AK88" s="20" t="str">
        <f aca="false">IF(AND(AI88&lt;&gt;"",N(X88)&gt;0),AI88/X88,"")</f>
        <v/>
      </c>
      <c r="AL88" s="21" t="str">
        <f aca="false">IF(AND(AC88="Sold",AD88&lt;&gt;"",Z88&lt;&gt;""),AD88-Z88,"")</f>
        <v/>
      </c>
      <c r="AM88" s="20" t="str">
        <f aca="false">IF(AND(AC88="Sold",N(AA88)&gt;0,AE88&lt;&gt;""),1-AE88/AA88,"")</f>
        <v/>
      </c>
      <c r="AN88" s="21" t="str">
        <f aca="true">IF(AND(AC88&lt;&gt;"Sold",AC88&lt;&gt;"",Z88&lt;&gt;""),TODAY()-Z88,"")</f>
        <v/>
      </c>
      <c r="AO88" s="4"/>
      <c r="AP88" s="4"/>
    </row>
    <row r="89" customFormat="false" ht="1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14"/>
      <c r="O89" s="15"/>
      <c r="P89" s="16"/>
      <c r="Q89" s="4"/>
      <c r="R89" s="17"/>
      <c r="S89" s="18" t="str">
        <f aca="false">IF(OR(P89="",R89=""),"",P89*R89)</f>
        <v/>
      </c>
      <c r="T89" s="14"/>
      <c r="U89" s="14"/>
      <c r="V89" s="14"/>
      <c r="W89" s="14"/>
      <c r="X89" s="18" t="str">
        <f aca="false">IF(S89="","",S89+N(T89)+N(U89)+N(V89)+N(W89))</f>
        <v/>
      </c>
      <c r="Y89" s="4"/>
      <c r="Z89" s="15"/>
      <c r="AA89" s="14"/>
      <c r="AB89" s="19"/>
      <c r="AC89" s="4"/>
      <c r="AD89" s="15"/>
      <c r="AE89" s="14"/>
      <c r="AF89" s="14"/>
      <c r="AG89" s="14"/>
      <c r="AH89" s="18" t="str">
        <f aca="false">IF(AND(AC89="Sold",AE89&lt;&gt;"",AF89&lt;&gt;""),AE89-AF89,"")</f>
        <v/>
      </c>
      <c r="AI89" s="18" t="str">
        <f aca="false">IF(AND(AC89="Sold",AF89&lt;&gt;"",X89&lt;&gt;""),AF89-N(AG89)-X89,"")</f>
        <v/>
      </c>
      <c r="AJ89" s="20" t="str">
        <f aca="false">IF(AND(AI89&lt;&gt;"",N(AE89)&gt;0),AI89/AE89,"")</f>
        <v/>
      </c>
      <c r="AK89" s="20" t="str">
        <f aca="false">IF(AND(AI89&lt;&gt;"",N(X89)&gt;0),AI89/X89,"")</f>
        <v/>
      </c>
      <c r="AL89" s="21" t="str">
        <f aca="false">IF(AND(AC89="Sold",AD89&lt;&gt;"",Z89&lt;&gt;""),AD89-Z89,"")</f>
        <v/>
      </c>
      <c r="AM89" s="20" t="str">
        <f aca="false">IF(AND(AC89="Sold",N(AA89)&gt;0,AE89&lt;&gt;""),1-AE89/AA89,"")</f>
        <v/>
      </c>
      <c r="AN89" s="21" t="str">
        <f aca="true">IF(AND(AC89&lt;&gt;"Sold",AC89&lt;&gt;"",Z89&lt;&gt;""),TODAY()-Z89,"")</f>
        <v/>
      </c>
      <c r="AO89" s="4"/>
      <c r="AP89" s="4"/>
    </row>
    <row r="90" customFormat="false" ht="1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14"/>
      <c r="O90" s="15"/>
      <c r="P90" s="16"/>
      <c r="Q90" s="4"/>
      <c r="R90" s="17"/>
      <c r="S90" s="18" t="str">
        <f aca="false">IF(OR(P90="",R90=""),"",P90*R90)</f>
        <v/>
      </c>
      <c r="T90" s="14"/>
      <c r="U90" s="14"/>
      <c r="V90" s="14"/>
      <c r="W90" s="14"/>
      <c r="X90" s="18" t="str">
        <f aca="false">IF(S90="","",S90+N(T90)+N(U90)+N(V90)+N(W90))</f>
        <v/>
      </c>
      <c r="Y90" s="4"/>
      <c r="Z90" s="15"/>
      <c r="AA90" s="14"/>
      <c r="AB90" s="19"/>
      <c r="AC90" s="4"/>
      <c r="AD90" s="15"/>
      <c r="AE90" s="14"/>
      <c r="AF90" s="14"/>
      <c r="AG90" s="14"/>
      <c r="AH90" s="18" t="str">
        <f aca="false">IF(AND(AC90="Sold",AE90&lt;&gt;"",AF90&lt;&gt;""),AE90-AF90,"")</f>
        <v/>
      </c>
      <c r="AI90" s="18" t="str">
        <f aca="false">IF(AND(AC90="Sold",AF90&lt;&gt;"",X90&lt;&gt;""),AF90-N(AG90)-X90,"")</f>
        <v/>
      </c>
      <c r="AJ90" s="20" t="str">
        <f aca="false">IF(AND(AI90&lt;&gt;"",N(AE90)&gt;0),AI90/AE90,"")</f>
        <v/>
      </c>
      <c r="AK90" s="20" t="str">
        <f aca="false">IF(AND(AI90&lt;&gt;"",N(X90)&gt;0),AI90/X90,"")</f>
        <v/>
      </c>
      <c r="AL90" s="21" t="str">
        <f aca="false">IF(AND(AC90="Sold",AD90&lt;&gt;"",Z90&lt;&gt;""),AD90-Z90,"")</f>
        <v/>
      </c>
      <c r="AM90" s="20" t="str">
        <f aca="false">IF(AND(AC90="Sold",N(AA90)&gt;0,AE90&lt;&gt;""),1-AE90/AA90,"")</f>
        <v/>
      </c>
      <c r="AN90" s="21" t="str">
        <f aca="true">IF(AND(AC90&lt;&gt;"Sold",AC90&lt;&gt;"",Z90&lt;&gt;""),TODAY()-Z90,"")</f>
        <v/>
      </c>
      <c r="AO90" s="4"/>
      <c r="AP90" s="4"/>
    </row>
    <row r="91" customFormat="false" ht="1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14"/>
      <c r="O91" s="15"/>
      <c r="P91" s="16"/>
      <c r="Q91" s="4"/>
      <c r="R91" s="17"/>
      <c r="S91" s="18" t="str">
        <f aca="false">IF(OR(P91="",R91=""),"",P91*R91)</f>
        <v/>
      </c>
      <c r="T91" s="14"/>
      <c r="U91" s="14"/>
      <c r="V91" s="14"/>
      <c r="W91" s="14"/>
      <c r="X91" s="18" t="str">
        <f aca="false">IF(S91="","",S91+N(T91)+N(U91)+N(V91)+N(W91))</f>
        <v/>
      </c>
      <c r="Y91" s="4"/>
      <c r="Z91" s="15"/>
      <c r="AA91" s="14"/>
      <c r="AB91" s="19"/>
      <c r="AC91" s="4"/>
      <c r="AD91" s="15"/>
      <c r="AE91" s="14"/>
      <c r="AF91" s="14"/>
      <c r="AG91" s="14"/>
      <c r="AH91" s="18" t="str">
        <f aca="false">IF(AND(AC91="Sold",AE91&lt;&gt;"",AF91&lt;&gt;""),AE91-AF91,"")</f>
        <v/>
      </c>
      <c r="AI91" s="18" t="str">
        <f aca="false">IF(AND(AC91="Sold",AF91&lt;&gt;"",X91&lt;&gt;""),AF91-N(AG91)-X91,"")</f>
        <v/>
      </c>
      <c r="AJ91" s="20" t="str">
        <f aca="false">IF(AND(AI91&lt;&gt;"",N(AE91)&gt;0),AI91/AE91,"")</f>
        <v/>
      </c>
      <c r="AK91" s="20" t="str">
        <f aca="false">IF(AND(AI91&lt;&gt;"",N(X91)&gt;0),AI91/X91,"")</f>
        <v/>
      </c>
      <c r="AL91" s="21" t="str">
        <f aca="false">IF(AND(AC91="Sold",AD91&lt;&gt;"",Z91&lt;&gt;""),AD91-Z91,"")</f>
        <v/>
      </c>
      <c r="AM91" s="20" t="str">
        <f aca="false">IF(AND(AC91="Sold",N(AA91)&gt;0,AE91&lt;&gt;""),1-AE91/AA91,"")</f>
        <v/>
      </c>
      <c r="AN91" s="21" t="str">
        <f aca="true">IF(AND(AC91&lt;&gt;"Sold",AC91&lt;&gt;"",Z91&lt;&gt;""),TODAY()-Z91,"")</f>
        <v/>
      </c>
      <c r="AO91" s="4"/>
      <c r="AP91" s="4"/>
    </row>
    <row r="92" customFormat="false" ht="1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14"/>
      <c r="O92" s="15"/>
      <c r="P92" s="16"/>
      <c r="Q92" s="4"/>
      <c r="R92" s="17"/>
      <c r="S92" s="18" t="str">
        <f aca="false">IF(OR(P92="",R92=""),"",P92*R92)</f>
        <v/>
      </c>
      <c r="T92" s="14"/>
      <c r="U92" s="14"/>
      <c r="V92" s="14"/>
      <c r="W92" s="14"/>
      <c r="X92" s="18" t="str">
        <f aca="false">IF(S92="","",S92+N(T92)+N(U92)+N(V92)+N(W92))</f>
        <v/>
      </c>
      <c r="Y92" s="4"/>
      <c r="Z92" s="15"/>
      <c r="AA92" s="14"/>
      <c r="AB92" s="19"/>
      <c r="AC92" s="4"/>
      <c r="AD92" s="15"/>
      <c r="AE92" s="14"/>
      <c r="AF92" s="14"/>
      <c r="AG92" s="14"/>
      <c r="AH92" s="18" t="str">
        <f aca="false">IF(AND(AC92="Sold",AE92&lt;&gt;"",AF92&lt;&gt;""),AE92-AF92,"")</f>
        <v/>
      </c>
      <c r="AI92" s="18" t="str">
        <f aca="false">IF(AND(AC92="Sold",AF92&lt;&gt;"",X92&lt;&gt;""),AF92-N(AG92)-X92,"")</f>
        <v/>
      </c>
      <c r="AJ92" s="20" t="str">
        <f aca="false">IF(AND(AI92&lt;&gt;"",N(AE92)&gt;0),AI92/AE92,"")</f>
        <v/>
      </c>
      <c r="AK92" s="20" t="str">
        <f aca="false">IF(AND(AI92&lt;&gt;"",N(X92)&gt;0),AI92/X92,"")</f>
        <v/>
      </c>
      <c r="AL92" s="21" t="str">
        <f aca="false">IF(AND(AC92="Sold",AD92&lt;&gt;"",Z92&lt;&gt;""),AD92-Z92,"")</f>
        <v/>
      </c>
      <c r="AM92" s="20" t="str">
        <f aca="false">IF(AND(AC92="Sold",N(AA92)&gt;0,AE92&lt;&gt;""),1-AE92/AA92,"")</f>
        <v/>
      </c>
      <c r="AN92" s="21" t="str">
        <f aca="true">IF(AND(AC92&lt;&gt;"Sold",AC92&lt;&gt;"",Z92&lt;&gt;""),TODAY()-Z92,"")</f>
        <v/>
      </c>
      <c r="AO92" s="4"/>
      <c r="AP92" s="4"/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14"/>
      <c r="O93" s="15"/>
      <c r="P93" s="16"/>
      <c r="Q93" s="4"/>
      <c r="R93" s="17"/>
      <c r="S93" s="18" t="str">
        <f aca="false">IF(OR(P93="",R93=""),"",P93*R93)</f>
        <v/>
      </c>
      <c r="T93" s="14"/>
      <c r="U93" s="14"/>
      <c r="V93" s="14"/>
      <c r="W93" s="14"/>
      <c r="X93" s="18" t="str">
        <f aca="false">IF(S93="","",S93+N(T93)+N(U93)+N(V93)+N(W93))</f>
        <v/>
      </c>
      <c r="Y93" s="4"/>
      <c r="Z93" s="15"/>
      <c r="AA93" s="14"/>
      <c r="AB93" s="19"/>
      <c r="AC93" s="4"/>
      <c r="AD93" s="15"/>
      <c r="AE93" s="14"/>
      <c r="AF93" s="14"/>
      <c r="AG93" s="14"/>
      <c r="AH93" s="18" t="str">
        <f aca="false">IF(AND(AC93="Sold",AE93&lt;&gt;"",AF93&lt;&gt;""),AE93-AF93,"")</f>
        <v/>
      </c>
      <c r="AI93" s="18" t="str">
        <f aca="false">IF(AND(AC93="Sold",AF93&lt;&gt;"",X93&lt;&gt;""),AF93-N(AG93)-X93,"")</f>
        <v/>
      </c>
      <c r="AJ93" s="20" t="str">
        <f aca="false">IF(AND(AI93&lt;&gt;"",N(AE93)&gt;0),AI93/AE93,"")</f>
        <v/>
      </c>
      <c r="AK93" s="20" t="str">
        <f aca="false">IF(AND(AI93&lt;&gt;"",N(X93)&gt;0),AI93/X93,"")</f>
        <v/>
      </c>
      <c r="AL93" s="21" t="str">
        <f aca="false">IF(AND(AC93="Sold",AD93&lt;&gt;"",Z93&lt;&gt;""),AD93-Z93,"")</f>
        <v/>
      </c>
      <c r="AM93" s="20" t="str">
        <f aca="false">IF(AND(AC93="Sold",N(AA93)&gt;0,AE93&lt;&gt;""),1-AE93/AA93,"")</f>
        <v/>
      </c>
      <c r="AN93" s="21" t="str">
        <f aca="true">IF(AND(AC93&lt;&gt;"Sold",AC93&lt;&gt;"",Z93&lt;&gt;""),TODAY()-Z93,"")</f>
        <v/>
      </c>
      <c r="AO93" s="4"/>
      <c r="AP93" s="4"/>
    </row>
    <row r="94" customFormat="false" ht="1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14"/>
      <c r="O94" s="15"/>
      <c r="P94" s="16"/>
      <c r="Q94" s="4"/>
      <c r="R94" s="17"/>
      <c r="S94" s="18" t="str">
        <f aca="false">IF(OR(P94="",R94=""),"",P94*R94)</f>
        <v/>
      </c>
      <c r="T94" s="14"/>
      <c r="U94" s="14"/>
      <c r="V94" s="14"/>
      <c r="W94" s="14"/>
      <c r="X94" s="18" t="str">
        <f aca="false">IF(S94="","",S94+N(T94)+N(U94)+N(V94)+N(W94))</f>
        <v/>
      </c>
      <c r="Y94" s="4"/>
      <c r="Z94" s="15"/>
      <c r="AA94" s="14"/>
      <c r="AB94" s="19"/>
      <c r="AC94" s="4"/>
      <c r="AD94" s="15"/>
      <c r="AE94" s="14"/>
      <c r="AF94" s="14"/>
      <c r="AG94" s="14"/>
      <c r="AH94" s="18" t="str">
        <f aca="false">IF(AND(AC94="Sold",AE94&lt;&gt;"",AF94&lt;&gt;""),AE94-AF94,"")</f>
        <v/>
      </c>
      <c r="AI94" s="18" t="str">
        <f aca="false">IF(AND(AC94="Sold",AF94&lt;&gt;"",X94&lt;&gt;""),AF94-N(AG94)-X94,"")</f>
        <v/>
      </c>
      <c r="AJ94" s="20" t="str">
        <f aca="false">IF(AND(AI94&lt;&gt;"",N(AE94)&gt;0),AI94/AE94,"")</f>
        <v/>
      </c>
      <c r="AK94" s="20" t="str">
        <f aca="false">IF(AND(AI94&lt;&gt;"",N(X94)&gt;0),AI94/X94,"")</f>
        <v/>
      </c>
      <c r="AL94" s="21" t="str">
        <f aca="false">IF(AND(AC94="Sold",AD94&lt;&gt;"",Z94&lt;&gt;""),AD94-Z94,"")</f>
        <v/>
      </c>
      <c r="AM94" s="20" t="str">
        <f aca="false">IF(AND(AC94="Sold",N(AA94)&gt;0,AE94&lt;&gt;""),1-AE94/AA94,"")</f>
        <v/>
      </c>
      <c r="AN94" s="21" t="str">
        <f aca="true">IF(AND(AC94&lt;&gt;"Sold",AC94&lt;&gt;"",Z94&lt;&gt;""),TODAY()-Z94,"")</f>
        <v/>
      </c>
      <c r="AO94" s="4"/>
      <c r="AP94" s="4"/>
    </row>
    <row r="95" customFormat="false" ht="1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14"/>
      <c r="O95" s="15"/>
      <c r="P95" s="16"/>
      <c r="Q95" s="4"/>
      <c r="R95" s="17"/>
      <c r="S95" s="18" t="str">
        <f aca="false">IF(OR(P95="",R95=""),"",P95*R95)</f>
        <v/>
      </c>
      <c r="T95" s="14"/>
      <c r="U95" s="14"/>
      <c r="V95" s="14"/>
      <c r="W95" s="14"/>
      <c r="X95" s="18" t="str">
        <f aca="false">IF(S95="","",S95+N(T95)+N(U95)+N(V95)+N(W95))</f>
        <v/>
      </c>
      <c r="Y95" s="4"/>
      <c r="Z95" s="15"/>
      <c r="AA95" s="14"/>
      <c r="AB95" s="19"/>
      <c r="AC95" s="4"/>
      <c r="AD95" s="15"/>
      <c r="AE95" s="14"/>
      <c r="AF95" s="14"/>
      <c r="AG95" s="14"/>
      <c r="AH95" s="18" t="str">
        <f aca="false">IF(AND(AC95="Sold",AE95&lt;&gt;"",AF95&lt;&gt;""),AE95-AF95,"")</f>
        <v/>
      </c>
      <c r="AI95" s="18" t="str">
        <f aca="false">IF(AND(AC95="Sold",AF95&lt;&gt;"",X95&lt;&gt;""),AF95-N(AG95)-X95,"")</f>
        <v/>
      </c>
      <c r="AJ95" s="20" t="str">
        <f aca="false">IF(AND(AI95&lt;&gt;"",N(AE95)&gt;0),AI95/AE95,"")</f>
        <v/>
      </c>
      <c r="AK95" s="20" t="str">
        <f aca="false">IF(AND(AI95&lt;&gt;"",N(X95)&gt;0),AI95/X95,"")</f>
        <v/>
      </c>
      <c r="AL95" s="21" t="str">
        <f aca="false">IF(AND(AC95="Sold",AD95&lt;&gt;"",Z95&lt;&gt;""),AD95-Z95,"")</f>
        <v/>
      </c>
      <c r="AM95" s="20" t="str">
        <f aca="false">IF(AND(AC95="Sold",N(AA95)&gt;0,AE95&lt;&gt;""),1-AE95/AA95,"")</f>
        <v/>
      </c>
      <c r="AN95" s="21" t="str">
        <f aca="true">IF(AND(AC95&lt;&gt;"Sold",AC95&lt;&gt;"",Z95&lt;&gt;""),TODAY()-Z95,"")</f>
        <v/>
      </c>
      <c r="AO95" s="4"/>
      <c r="AP95" s="4"/>
    </row>
    <row r="96" customFormat="false" ht="1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14"/>
      <c r="O96" s="15"/>
      <c r="P96" s="16"/>
      <c r="Q96" s="4"/>
      <c r="R96" s="17"/>
      <c r="S96" s="18" t="str">
        <f aca="false">IF(OR(P96="",R96=""),"",P96*R96)</f>
        <v/>
      </c>
      <c r="T96" s="14"/>
      <c r="U96" s="14"/>
      <c r="V96" s="14"/>
      <c r="W96" s="14"/>
      <c r="X96" s="18" t="str">
        <f aca="false">IF(S96="","",S96+N(T96)+N(U96)+N(V96)+N(W96))</f>
        <v/>
      </c>
      <c r="Y96" s="4"/>
      <c r="Z96" s="15"/>
      <c r="AA96" s="14"/>
      <c r="AB96" s="19"/>
      <c r="AC96" s="4"/>
      <c r="AD96" s="15"/>
      <c r="AE96" s="14"/>
      <c r="AF96" s="14"/>
      <c r="AG96" s="14"/>
      <c r="AH96" s="18" t="str">
        <f aca="false">IF(AND(AC96="Sold",AE96&lt;&gt;"",AF96&lt;&gt;""),AE96-AF96,"")</f>
        <v/>
      </c>
      <c r="AI96" s="18" t="str">
        <f aca="false">IF(AND(AC96="Sold",AF96&lt;&gt;"",X96&lt;&gt;""),AF96-N(AG96)-X96,"")</f>
        <v/>
      </c>
      <c r="AJ96" s="20" t="str">
        <f aca="false">IF(AND(AI96&lt;&gt;"",N(AE96)&gt;0),AI96/AE96,"")</f>
        <v/>
      </c>
      <c r="AK96" s="20" t="str">
        <f aca="false">IF(AND(AI96&lt;&gt;"",N(X96)&gt;0),AI96/X96,"")</f>
        <v/>
      </c>
      <c r="AL96" s="21" t="str">
        <f aca="false">IF(AND(AC96="Sold",AD96&lt;&gt;"",Z96&lt;&gt;""),AD96-Z96,"")</f>
        <v/>
      </c>
      <c r="AM96" s="20" t="str">
        <f aca="false">IF(AND(AC96="Sold",N(AA96)&gt;0,AE96&lt;&gt;""),1-AE96/AA96,"")</f>
        <v/>
      </c>
      <c r="AN96" s="21" t="str">
        <f aca="true">IF(AND(AC96&lt;&gt;"Sold",AC96&lt;&gt;"",Z96&lt;&gt;""),TODAY()-Z96,"")</f>
        <v/>
      </c>
      <c r="AO96" s="4"/>
      <c r="AP96" s="4"/>
    </row>
    <row r="97" customFormat="false" ht="1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14"/>
      <c r="O97" s="15"/>
      <c r="P97" s="16"/>
      <c r="Q97" s="4"/>
      <c r="R97" s="17"/>
      <c r="S97" s="18" t="str">
        <f aca="false">IF(OR(P97="",R97=""),"",P97*R97)</f>
        <v/>
      </c>
      <c r="T97" s="14"/>
      <c r="U97" s="14"/>
      <c r="V97" s="14"/>
      <c r="W97" s="14"/>
      <c r="X97" s="18" t="str">
        <f aca="false">IF(S97="","",S97+N(T97)+N(U97)+N(V97)+N(W97))</f>
        <v/>
      </c>
      <c r="Y97" s="4"/>
      <c r="Z97" s="15"/>
      <c r="AA97" s="14"/>
      <c r="AB97" s="19"/>
      <c r="AC97" s="4"/>
      <c r="AD97" s="15"/>
      <c r="AE97" s="14"/>
      <c r="AF97" s="14"/>
      <c r="AG97" s="14"/>
      <c r="AH97" s="18" t="str">
        <f aca="false">IF(AND(AC97="Sold",AE97&lt;&gt;"",AF97&lt;&gt;""),AE97-AF97,"")</f>
        <v/>
      </c>
      <c r="AI97" s="18" t="str">
        <f aca="false">IF(AND(AC97="Sold",AF97&lt;&gt;"",X97&lt;&gt;""),AF97-N(AG97)-X97,"")</f>
        <v/>
      </c>
      <c r="AJ97" s="20" t="str">
        <f aca="false">IF(AND(AI97&lt;&gt;"",N(AE97)&gt;0),AI97/AE97,"")</f>
        <v/>
      </c>
      <c r="AK97" s="20" t="str">
        <f aca="false">IF(AND(AI97&lt;&gt;"",N(X97)&gt;0),AI97/X97,"")</f>
        <v/>
      </c>
      <c r="AL97" s="21" t="str">
        <f aca="false">IF(AND(AC97="Sold",AD97&lt;&gt;"",Z97&lt;&gt;""),AD97-Z97,"")</f>
        <v/>
      </c>
      <c r="AM97" s="20" t="str">
        <f aca="false">IF(AND(AC97="Sold",N(AA97)&gt;0,AE97&lt;&gt;""),1-AE97/AA97,"")</f>
        <v/>
      </c>
      <c r="AN97" s="21" t="str">
        <f aca="true">IF(AND(AC97&lt;&gt;"Sold",AC97&lt;&gt;"",Z97&lt;&gt;""),TODAY()-Z97,"")</f>
        <v/>
      </c>
      <c r="AO97" s="4"/>
      <c r="AP97" s="4"/>
    </row>
    <row r="98" customFormat="false" ht="1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14"/>
      <c r="O98" s="15"/>
      <c r="P98" s="16"/>
      <c r="Q98" s="4"/>
      <c r="R98" s="17"/>
      <c r="S98" s="18" t="str">
        <f aca="false">IF(OR(P98="",R98=""),"",P98*R98)</f>
        <v/>
      </c>
      <c r="T98" s="14"/>
      <c r="U98" s="14"/>
      <c r="V98" s="14"/>
      <c r="W98" s="14"/>
      <c r="X98" s="18" t="str">
        <f aca="false">IF(S98="","",S98+N(T98)+N(U98)+N(V98)+N(W98))</f>
        <v/>
      </c>
      <c r="Y98" s="4"/>
      <c r="Z98" s="15"/>
      <c r="AA98" s="14"/>
      <c r="AB98" s="19"/>
      <c r="AC98" s="4"/>
      <c r="AD98" s="15"/>
      <c r="AE98" s="14"/>
      <c r="AF98" s="14"/>
      <c r="AG98" s="14"/>
      <c r="AH98" s="18" t="str">
        <f aca="false">IF(AND(AC98="Sold",AE98&lt;&gt;"",AF98&lt;&gt;""),AE98-AF98,"")</f>
        <v/>
      </c>
      <c r="AI98" s="18" t="str">
        <f aca="false">IF(AND(AC98="Sold",AF98&lt;&gt;"",X98&lt;&gt;""),AF98-N(AG98)-X98,"")</f>
        <v/>
      </c>
      <c r="AJ98" s="20" t="str">
        <f aca="false">IF(AND(AI98&lt;&gt;"",N(AE98)&gt;0),AI98/AE98,"")</f>
        <v/>
      </c>
      <c r="AK98" s="20" t="str">
        <f aca="false">IF(AND(AI98&lt;&gt;"",N(X98)&gt;0),AI98/X98,"")</f>
        <v/>
      </c>
      <c r="AL98" s="21" t="str">
        <f aca="false">IF(AND(AC98="Sold",AD98&lt;&gt;"",Z98&lt;&gt;""),AD98-Z98,"")</f>
        <v/>
      </c>
      <c r="AM98" s="20" t="str">
        <f aca="false">IF(AND(AC98="Sold",N(AA98)&gt;0,AE98&lt;&gt;""),1-AE98/AA98,"")</f>
        <v/>
      </c>
      <c r="AN98" s="21" t="str">
        <f aca="true">IF(AND(AC98&lt;&gt;"Sold",AC98&lt;&gt;"",Z98&lt;&gt;""),TODAY()-Z98,"")</f>
        <v/>
      </c>
      <c r="AO98" s="4"/>
      <c r="AP98" s="4"/>
    </row>
    <row r="99" customFormat="false" ht="1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14"/>
      <c r="O99" s="15"/>
      <c r="P99" s="16"/>
      <c r="Q99" s="4"/>
      <c r="R99" s="17"/>
      <c r="S99" s="18" t="str">
        <f aca="false">IF(OR(P99="",R99=""),"",P99*R99)</f>
        <v/>
      </c>
      <c r="T99" s="14"/>
      <c r="U99" s="14"/>
      <c r="V99" s="14"/>
      <c r="W99" s="14"/>
      <c r="X99" s="18" t="str">
        <f aca="false">IF(S99="","",S99+N(T99)+N(U99)+N(V99)+N(W99))</f>
        <v/>
      </c>
      <c r="Y99" s="4"/>
      <c r="Z99" s="15"/>
      <c r="AA99" s="14"/>
      <c r="AB99" s="19"/>
      <c r="AC99" s="4"/>
      <c r="AD99" s="15"/>
      <c r="AE99" s="14"/>
      <c r="AF99" s="14"/>
      <c r="AG99" s="14"/>
      <c r="AH99" s="18" t="str">
        <f aca="false">IF(AND(AC99="Sold",AE99&lt;&gt;"",AF99&lt;&gt;""),AE99-AF99,"")</f>
        <v/>
      </c>
      <c r="AI99" s="18" t="str">
        <f aca="false">IF(AND(AC99="Sold",AF99&lt;&gt;"",X99&lt;&gt;""),AF99-N(AG99)-X99,"")</f>
        <v/>
      </c>
      <c r="AJ99" s="20" t="str">
        <f aca="false">IF(AND(AI99&lt;&gt;"",N(AE99)&gt;0),AI99/AE99,"")</f>
        <v/>
      </c>
      <c r="AK99" s="20" t="str">
        <f aca="false">IF(AND(AI99&lt;&gt;"",N(X99)&gt;0),AI99/X99,"")</f>
        <v/>
      </c>
      <c r="AL99" s="21" t="str">
        <f aca="false">IF(AND(AC99="Sold",AD99&lt;&gt;"",Z99&lt;&gt;""),AD99-Z99,"")</f>
        <v/>
      </c>
      <c r="AM99" s="20" t="str">
        <f aca="false">IF(AND(AC99="Sold",N(AA99)&gt;0,AE99&lt;&gt;""),1-AE99/AA99,"")</f>
        <v/>
      </c>
      <c r="AN99" s="21" t="str">
        <f aca="true">IF(AND(AC99&lt;&gt;"Sold",AC99&lt;&gt;"",Z99&lt;&gt;""),TODAY()-Z99,"")</f>
        <v/>
      </c>
      <c r="AO99" s="4"/>
      <c r="AP99" s="4"/>
    </row>
    <row r="100" customFormat="false" ht="1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14"/>
      <c r="O100" s="15"/>
      <c r="P100" s="16"/>
      <c r="Q100" s="4"/>
      <c r="R100" s="17"/>
      <c r="S100" s="18" t="str">
        <f aca="false">IF(OR(P100="",R100=""),"",P100*R100)</f>
        <v/>
      </c>
      <c r="T100" s="14"/>
      <c r="U100" s="14"/>
      <c r="V100" s="14"/>
      <c r="W100" s="14"/>
      <c r="X100" s="18" t="str">
        <f aca="false">IF(S100="","",S100+N(T100)+N(U100)+N(V100)+N(W100))</f>
        <v/>
      </c>
      <c r="Y100" s="4"/>
      <c r="Z100" s="15"/>
      <c r="AA100" s="14"/>
      <c r="AB100" s="19"/>
      <c r="AC100" s="4"/>
      <c r="AD100" s="15"/>
      <c r="AE100" s="14"/>
      <c r="AF100" s="14"/>
      <c r="AG100" s="14"/>
      <c r="AH100" s="18" t="str">
        <f aca="false">IF(AND(AC100="Sold",AE100&lt;&gt;"",AF100&lt;&gt;""),AE100-AF100,"")</f>
        <v/>
      </c>
      <c r="AI100" s="18" t="str">
        <f aca="false">IF(AND(AC100="Sold",AF100&lt;&gt;"",X100&lt;&gt;""),AF100-N(AG100)-X100,"")</f>
        <v/>
      </c>
      <c r="AJ100" s="20" t="str">
        <f aca="false">IF(AND(AI100&lt;&gt;"",N(AE100)&gt;0),AI100/AE100,"")</f>
        <v/>
      </c>
      <c r="AK100" s="20" t="str">
        <f aca="false">IF(AND(AI100&lt;&gt;"",N(X100)&gt;0),AI100/X100,"")</f>
        <v/>
      </c>
      <c r="AL100" s="21" t="str">
        <f aca="false">IF(AND(AC100="Sold",AD100&lt;&gt;"",Z100&lt;&gt;""),AD100-Z100,"")</f>
        <v/>
      </c>
      <c r="AM100" s="20" t="str">
        <f aca="false">IF(AND(AC100="Sold",N(AA100)&gt;0,AE100&lt;&gt;""),1-AE100/AA100,"")</f>
        <v/>
      </c>
      <c r="AN100" s="21" t="str">
        <f aca="true">IF(AND(AC100&lt;&gt;"Sold",AC100&lt;&gt;"",Z100&lt;&gt;""),TODAY()-Z100,"")</f>
        <v/>
      </c>
      <c r="AO100" s="4"/>
      <c r="AP100" s="4"/>
    </row>
    <row r="101" customFormat="false" ht="1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14"/>
      <c r="O101" s="15"/>
      <c r="P101" s="16"/>
      <c r="Q101" s="4"/>
      <c r="R101" s="17"/>
      <c r="S101" s="18" t="str">
        <f aca="false">IF(OR(P101="",R101=""),"",P101*R101)</f>
        <v/>
      </c>
      <c r="T101" s="14"/>
      <c r="U101" s="14"/>
      <c r="V101" s="14"/>
      <c r="W101" s="14"/>
      <c r="X101" s="18" t="str">
        <f aca="false">IF(S101="","",S101+N(T101)+N(U101)+N(V101)+N(W101))</f>
        <v/>
      </c>
      <c r="Y101" s="4"/>
      <c r="Z101" s="15"/>
      <c r="AA101" s="14"/>
      <c r="AB101" s="19"/>
      <c r="AC101" s="4"/>
      <c r="AD101" s="15"/>
      <c r="AE101" s="14"/>
      <c r="AF101" s="14"/>
      <c r="AG101" s="14"/>
      <c r="AH101" s="18" t="str">
        <f aca="false">IF(AND(AC101="Sold",AE101&lt;&gt;"",AF101&lt;&gt;""),AE101-AF101,"")</f>
        <v/>
      </c>
      <c r="AI101" s="18" t="str">
        <f aca="false">IF(AND(AC101="Sold",AF101&lt;&gt;"",X101&lt;&gt;""),AF101-N(AG101)-X101,"")</f>
        <v/>
      </c>
      <c r="AJ101" s="20" t="str">
        <f aca="false">IF(AND(AI101&lt;&gt;"",N(AE101)&gt;0),AI101/AE101,"")</f>
        <v/>
      </c>
      <c r="AK101" s="20" t="str">
        <f aca="false">IF(AND(AI101&lt;&gt;"",N(X101)&gt;0),AI101/X101,"")</f>
        <v/>
      </c>
      <c r="AL101" s="21" t="str">
        <f aca="false">IF(AND(AC101="Sold",AD101&lt;&gt;"",Z101&lt;&gt;""),AD101-Z101,"")</f>
        <v/>
      </c>
      <c r="AM101" s="20" t="str">
        <f aca="false">IF(AND(AC101="Sold",N(AA101)&gt;0,AE101&lt;&gt;""),1-AE101/AA101,"")</f>
        <v/>
      </c>
      <c r="AN101" s="21" t="str">
        <f aca="true">IF(AND(AC101&lt;&gt;"Sold",AC101&lt;&gt;"",Z101&lt;&gt;""),TODAY()-Z101,"")</f>
        <v/>
      </c>
      <c r="AO101" s="4"/>
      <c r="AP101" s="4"/>
    </row>
    <row r="102" customFormat="false" ht="1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14"/>
      <c r="O102" s="15"/>
      <c r="P102" s="16"/>
      <c r="Q102" s="4"/>
      <c r="R102" s="17"/>
      <c r="S102" s="18" t="str">
        <f aca="false">IF(OR(P102="",R102=""),"",P102*R102)</f>
        <v/>
      </c>
      <c r="T102" s="14"/>
      <c r="U102" s="14"/>
      <c r="V102" s="14"/>
      <c r="W102" s="14"/>
      <c r="X102" s="18" t="str">
        <f aca="false">IF(S102="","",S102+N(T102)+N(U102)+N(V102)+N(W102))</f>
        <v/>
      </c>
      <c r="Y102" s="4"/>
      <c r="Z102" s="15"/>
      <c r="AA102" s="14"/>
      <c r="AB102" s="19"/>
      <c r="AC102" s="4"/>
      <c r="AD102" s="15"/>
      <c r="AE102" s="14"/>
      <c r="AF102" s="14"/>
      <c r="AG102" s="14"/>
      <c r="AH102" s="18" t="str">
        <f aca="false">IF(AND(AC102="Sold",AE102&lt;&gt;"",AF102&lt;&gt;""),AE102-AF102,"")</f>
        <v/>
      </c>
      <c r="AI102" s="18" t="str">
        <f aca="false">IF(AND(AC102="Sold",AF102&lt;&gt;"",X102&lt;&gt;""),AF102-N(AG102)-X102,"")</f>
        <v/>
      </c>
      <c r="AJ102" s="20" t="str">
        <f aca="false">IF(AND(AI102&lt;&gt;"",N(AE102)&gt;0),AI102/AE102,"")</f>
        <v/>
      </c>
      <c r="AK102" s="20" t="str">
        <f aca="false">IF(AND(AI102&lt;&gt;"",N(X102)&gt;0),AI102/X102,"")</f>
        <v/>
      </c>
      <c r="AL102" s="21" t="str">
        <f aca="false">IF(AND(AC102="Sold",AD102&lt;&gt;"",Z102&lt;&gt;""),AD102-Z102,"")</f>
        <v/>
      </c>
      <c r="AM102" s="20" t="str">
        <f aca="false">IF(AND(AC102="Sold",N(AA102)&gt;0,AE102&lt;&gt;""),1-AE102/AA102,"")</f>
        <v/>
      </c>
      <c r="AN102" s="21" t="str">
        <f aca="true">IF(AND(AC102&lt;&gt;"Sold",AC102&lt;&gt;"",Z102&lt;&gt;""),TODAY()-Z102,"")</f>
        <v/>
      </c>
      <c r="AO102" s="4"/>
      <c r="AP102" s="4"/>
    </row>
    <row r="103" customFormat="false" ht="1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14"/>
      <c r="O103" s="15"/>
      <c r="P103" s="16"/>
      <c r="Q103" s="4"/>
      <c r="R103" s="17"/>
      <c r="S103" s="18" t="str">
        <f aca="false">IF(OR(P103="",R103=""),"",P103*R103)</f>
        <v/>
      </c>
      <c r="T103" s="14"/>
      <c r="U103" s="14"/>
      <c r="V103" s="14"/>
      <c r="W103" s="14"/>
      <c r="X103" s="18" t="str">
        <f aca="false">IF(S103="","",S103+N(T103)+N(U103)+N(V103)+N(W103))</f>
        <v/>
      </c>
      <c r="Y103" s="4"/>
      <c r="Z103" s="15"/>
      <c r="AA103" s="14"/>
      <c r="AB103" s="19"/>
      <c r="AC103" s="4"/>
      <c r="AD103" s="15"/>
      <c r="AE103" s="14"/>
      <c r="AF103" s="14"/>
      <c r="AG103" s="14"/>
      <c r="AH103" s="18" t="str">
        <f aca="false">IF(AND(AC103="Sold",AE103&lt;&gt;"",AF103&lt;&gt;""),AE103-AF103,"")</f>
        <v/>
      </c>
      <c r="AI103" s="18" t="str">
        <f aca="false">IF(AND(AC103="Sold",AF103&lt;&gt;"",X103&lt;&gt;""),AF103-N(AG103)-X103,"")</f>
        <v/>
      </c>
      <c r="AJ103" s="20" t="str">
        <f aca="false">IF(AND(AI103&lt;&gt;"",N(AE103)&gt;0),AI103/AE103,"")</f>
        <v/>
      </c>
      <c r="AK103" s="20" t="str">
        <f aca="false">IF(AND(AI103&lt;&gt;"",N(X103)&gt;0),AI103/X103,"")</f>
        <v/>
      </c>
      <c r="AL103" s="21" t="str">
        <f aca="false">IF(AND(AC103="Sold",AD103&lt;&gt;"",Z103&lt;&gt;""),AD103-Z103,"")</f>
        <v/>
      </c>
      <c r="AM103" s="20" t="str">
        <f aca="false">IF(AND(AC103="Sold",N(AA103)&gt;0,AE103&lt;&gt;""),1-AE103/AA103,"")</f>
        <v/>
      </c>
      <c r="AN103" s="21" t="str">
        <f aca="true">IF(AND(AC103&lt;&gt;"Sold",AC103&lt;&gt;"",Z103&lt;&gt;""),TODAY()-Z103,"")</f>
        <v/>
      </c>
      <c r="AO103" s="4"/>
      <c r="AP103" s="4"/>
    </row>
    <row r="104" customFormat="false" ht="1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14"/>
      <c r="O104" s="15"/>
      <c r="P104" s="16"/>
      <c r="Q104" s="4"/>
      <c r="R104" s="17"/>
      <c r="S104" s="18" t="str">
        <f aca="false">IF(OR(P104="",R104=""),"",P104*R104)</f>
        <v/>
      </c>
      <c r="T104" s="14"/>
      <c r="U104" s="14"/>
      <c r="V104" s="14"/>
      <c r="W104" s="14"/>
      <c r="X104" s="18" t="str">
        <f aca="false">IF(S104="","",S104+N(T104)+N(U104)+N(V104)+N(W104))</f>
        <v/>
      </c>
      <c r="Y104" s="4"/>
      <c r="Z104" s="15"/>
      <c r="AA104" s="14"/>
      <c r="AB104" s="19"/>
      <c r="AC104" s="4"/>
      <c r="AD104" s="15"/>
      <c r="AE104" s="14"/>
      <c r="AF104" s="14"/>
      <c r="AG104" s="14"/>
      <c r="AH104" s="18" t="str">
        <f aca="false">IF(AND(AC104="Sold",AE104&lt;&gt;"",AF104&lt;&gt;""),AE104-AF104,"")</f>
        <v/>
      </c>
      <c r="AI104" s="18" t="str">
        <f aca="false">IF(AND(AC104="Sold",AF104&lt;&gt;"",X104&lt;&gt;""),AF104-N(AG104)-X104,"")</f>
        <v/>
      </c>
      <c r="AJ104" s="20" t="str">
        <f aca="false">IF(AND(AI104&lt;&gt;"",N(AE104)&gt;0),AI104/AE104,"")</f>
        <v/>
      </c>
      <c r="AK104" s="20" t="str">
        <f aca="false">IF(AND(AI104&lt;&gt;"",N(X104)&gt;0),AI104/X104,"")</f>
        <v/>
      </c>
      <c r="AL104" s="21" t="str">
        <f aca="false">IF(AND(AC104="Sold",AD104&lt;&gt;"",Z104&lt;&gt;""),AD104-Z104,"")</f>
        <v/>
      </c>
      <c r="AM104" s="20" t="str">
        <f aca="false">IF(AND(AC104="Sold",N(AA104)&gt;0,AE104&lt;&gt;""),1-AE104/AA104,"")</f>
        <v/>
      </c>
      <c r="AN104" s="21" t="str">
        <f aca="true">IF(AND(AC104&lt;&gt;"Sold",AC104&lt;&gt;"",Z104&lt;&gt;""),TODAY()-Z104,"")</f>
        <v/>
      </c>
      <c r="AO104" s="4"/>
      <c r="AP104" s="4"/>
    </row>
    <row r="105" customFormat="false" ht="1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14"/>
      <c r="O105" s="15"/>
      <c r="P105" s="16"/>
      <c r="Q105" s="4"/>
      <c r="R105" s="17"/>
      <c r="S105" s="18" t="str">
        <f aca="false">IF(OR(P105="",R105=""),"",P105*R105)</f>
        <v/>
      </c>
      <c r="T105" s="14"/>
      <c r="U105" s="14"/>
      <c r="V105" s="14"/>
      <c r="W105" s="14"/>
      <c r="X105" s="18" t="str">
        <f aca="false">IF(S105="","",S105+N(T105)+N(U105)+N(V105)+N(W105))</f>
        <v/>
      </c>
      <c r="Y105" s="4"/>
      <c r="Z105" s="15"/>
      <c r="AA105" s="14"/>
      <c r="AB105" s="19"/>
      <c r="AC105" s="4"/>
      <c r="AD105" s="15"/>
      <c r="AE105" s="14"/>
      <c r="AF105" s="14"/>
      <c r="AG105" s="14"/>
      <c r="AH105" s="18" t="str">
        <f aca="false">IF(AND(AC105="Sold",AE105&lt;&gt;"",AF105&lt;&gt;""),AE105-AF105,"")</f>
        <v/>
      </c>
      <c r="AI105" s="18" t="str">
        <f aca="false">IF(AND(AC105="Sold",AF105&lt;&gt;"",X105&lt;&gt;""),AF105-N(AG105)-X105,"")</f>
        <v/>
      </c>
      <c r="AJ105" s="20" t="str">
        <f aca="false">IF(AND(AI105&lt;&gt;"",N(AE105)&gt;0),AI105/AE105,"")</f>
        <v/>
      </c>
      <c r="AK105" s="20" t="str">
        <f aca="false">IF(AND(AI105&lt;&gt;"",N(X105)&gt;0),AI105/X105,"")</f>
        <v/>
      </c>
      <c r="AL105" s="21" t="str">
        <f aca="false">IF(AND(AC105="Sold",AD105&lt;&gt;"",Z105&lt;&gt;""),AD105-Z105,"")</f>
        <v/>
      </c>
      <c r="AM105" s="20" t="str">
        <f aca="false">IF(AND(AC105="Sold",N(AA105)&gt;0,AE105&lt;&gt;""),1-AE105/AA105,"")</f>
        <v/>
      </c>
      <c r="AN105" s="21" t="str">
        <f aca="true">IF(AND(AC105&lt;&gt;"Sold",AC105&lt;&gt;"",Z105&lt;&gt;""),TODAY()-Z105,"")</f>
        <v/>
      </c>
      <c r="AO105" s="4"/>
      <c r="AP105" s="4"/>
    </row>
    <row r="106" customFormat="false" ht="1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14"/>
      <c r="O106" s="15"/>
      <c r="P106" s="16"/>
      <c r="Q106" s="4"/>
      <c r="R106" s="17"/>
      <c r="S106" s="18" t="str">
        <f aca="false">IF(OR(P106="",R106=""),"",P106*R106)</f>
        <v/>
      </c>
      <c r="T106" s="14"/>
      <c r="U106" s="14"/>
      <c r="V106" s="14"/>
      <c r="W106" s="14"/>
      <c r="X106" s="18" t="str">
        <f aca="false">IF(S106="","",S106+N(T106)+N(U106)+N(V106)+N(W106))</f>
        <v/>
      </c>
      <c r="Y106" s="4"/>
      <c r="Z106" s="15"/>
      <c r="AA106" s="14"/>
      <c r="AB106" s="19"/>
      <c r="AC106" s="4"/>
      <c r="AD106" s="15"/>
      <c r="AE106" s="14"/>
      <c r="AF106" s="14"/>
      <c r="AG106" s="14"/>
      <c r="AH106" s="18" t="str">
        <f aca="false">IF(AND(AC106="Sold",AE106&lt;&gt;"",AF106&lt;&gt;""),AE106-AF106,"")</f>
        <v/>
      </c>
      <c r="AI106" s="18" t="str">
        <f aca="false">IF(AND(AC106="Sold",AF106&lt;&gt;"",X106&lt;&gt;""),AF106-N(AG106)-X106,"")</f>
        <v/>
      </c>
      <c r="AJ106" s="20" t="str">
        <f aca="false">IF(AND(AI106&lt;&gt;"",N(AE106)&gt;0),AI106/AE106,"")</f>
        <v/>
      </c>
      <c r="AK106" s="20" t="str">
        <f aca="false">IF(AND(AI106&lt;&gt;"",N(X106)&gt;0),AI106/X106,"")</f>
        <v/>
      </c>
      <c r="AL106" s="21" t="str">
        <f aca="false">IF(AND(AC106="Sold",AD106&lt;&gt;"",Z106&lt;&gt;""),AD106-Z106,"")</f>
        <v/>
      </c>
      <c r="AM106" s="20" t="str">
        <f aca="false">IF(AND(AC106="Sold",N(AA106)&gt;0,AE106&lt;&gt;""),1-AE106/AA106,"")</f>
        <v/>
      </c>
      <c r="AN106" s="21" t="str">
        <f aca="true">IF(AND(AC106&lt;&gt;"Sold",AC106&lt;&gt;"",Z106&lt;&gt;""),TODAY()-Z106,"")</f>
        <v/>
      </c>
      <c r="AO106" s="4"/>
      <c r="AP106" s="4"/>
    </row>
    <row r="107" customFormat="false" ht="1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14"/>
      <c r="O107" s="15"/>
      <c r="P107" s="16"/>
      <c r="Q107" s="4"/>
      <c r="R107" s="17"/>
      <c r="S107" s="18" t="str">
        <f aca="false">IF(OR(P107="",R107=""),"",P107*R107)</f>
        <v/>
      </c>
      <c r="T107" s="14"/>
      <c r="U107" s="14"/>
      <c r="V107" s="14"/>
      <c r="W107" s="14"/>
      <c r="X107" s="18" t="str">
        <f aca="false">IF(S107="","",S107+N(T107)+N(U107)+N(V107)+N(W107))</f>
        <v/>
      </c>
      <c r="Y107" s="4"/>
      <c r="Z107" s="15"/>
      <c r="AA107" s="14"/>
      <c r="AB107" s="19"/>
      <c r="AC107" s="4"/>
      <c r="AD107" s="15"/>
      <c r="AE107" s="14"/>
      <c r="AF107" s="14"/>
      <c r="AG107" s="14"/>
      <c r="AH107" s="18" t="str">
        <f aca="false">IF(AND(AC107="Sold",AE107&lt;&gt;"",AF107&lt;&gt;""),AE107-AF107,"")</f>
        <v/>
      </c>
      <c r="AI107" s="18" t="str">
        <f aca="false">IF(AND(AC107="Sold",AF107&lt;&gt;"",X107&lt;&gt;""),AF107-N(AG107)-X107,"")</f>
        <v/>
      </c>
      <c r="AJ107" s="20" t="str">
        <f aca="false">IF(AND(AI107&lt;&gt;"",N(AE107)&gt;0),AI107/AE107,"")</f>
        <v/>
      </c>
      <c r="AK107" s="20" t="str">
        <f aca="false">IF(AND(AI107&lt;&gt;"",N(X107)&gt;0),AI107/X107,"")</f>
        <v/>
      </c>
      <c r="AL107" s="21" t="str">
        <f aca="false">IF(AND(AC107="Sold",AD107&lt;&gt;"",Z107&lt;&gt;""),AD107-Z107,"")</f>
        <v/>
      </c>
      <c r="AM107" s="20" t="str">
        <f aca="false">IF(AND(AC107="Sold",N(AA107)&gt;0,AE107&lt;&gt;""),1-AE107/AA107,"")</f>
        <v/>
      </c>
      <c r="AN107" s="21" t="str">
        <f aca="true">IF(AND(AC107&lt;&gt;"Sold",AC107&lt;&gt;"",Z107&lt;&gt;""),TODAY()-Z107,"")</f>
        <v/>
      </c>
      <c r="AO107" s="4"/>
      <c r="AP107" s="4"/>
    </row>
    <row r="108" customFormat="false" ht="1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14"/>
      <c r="O108" s="15"/>
      <c r="P108" s="16"/>
      <c r="Q108" s="4"/>
      <c r="R108" s="17"/>
      <c r="S108" s="18" t="str">
        <f aca="false">IF(OR(P108="",R108=""),"",P108*R108)</f>
        <v/>
      </c>
      <c r="T108" s="14"/>
      <c r="U108" s="14"/>
      <c r="V108" s="14"/>
      <c r="W108" s="14"/>
      <c r="X108" s="18" t="str">
        <f aca="false">IF(S108="","",S108+N(T108)+N(U108)+N(V108)+N(W108))</f>
        <v/>
      </c>
      <c r="Y108" s="4"/>
      <c r="Z108" s="15"/>
      <c r="AA108" s="14"/>
      <c r="AB108" s="19"/>
      <c r="AC108" s="4"/>
      <c r="AD108" s="15"/>
      <c r="AE108" s="14"/>
      <c r="AF108" s="14"/>
      <c r="AG108" s="14"/>
      <c r="AH108" s="18" t="str">
        <f aca="false">IF(AND(AC108="Sold",AE108&lt;&gt;"",AF108&lt;&gt;""),AE108-AF108,"")</f>
        <v/>
      </c>
      <c r="AI108" s="18" t="str">
        <f aca="false">IF(AND(AC108="Sold",AF108&lt;&gt;"",X108&lt;&gt;""),AF108-N(AG108)-X108,"")</f>
        <v/>
      </c>
      <c r="AJ108" s="20" t="str">
        <f aca="false">IF(AND(AI108&lt;&gt;"",N(AE108)&gt;0),AI108/AE108,"")</f>
        <v/>
      </c>
      <c r="AK108" s="20" t="str">
        <f aca="false">IF(AND(AI108&lt;&gt;"",N(X108)&gt;0),AI108/X108,"")</f>
        <v/>
      </c>
      <c r="AL108" s="21" t="str">
        <f aca="false">IF(AND(AC108="Sold",AD108&lt;&gt;"",Z108&lt;&gt;""),AD108-Z108,"")</f>
        <v/>
      </c>
      <c r="AM108" s="20" t="str">
        <f aca="false">IF(AND(AC108="Sold",N(AA108)&gt;0,AE108&lt;&gt;""),1-AE108/AA108,"")</f>
        <v/>
      </c>
      <c r="AN108" s="21" t="str">
        <f aca="true">IF(AND(AC108&lt;&gt;"Sold",AC108&lt;&gt;"",Z108&lt;&gt;""),TODAY()-Z108,"")</f>
        <v/>
      </c>
      <c r="AO108" s="4"/>
      <c r="AP108" s="4"/>
    </row>
    <row r="109" customFormat="false" ht="1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4"/>
      <c r="O109" s="15"/>
      <c r="P109" s="16"/>
      <c r="Q109" s="4"/>
      <c r="R109" s="17"/>
      <c r="S109" s="18" t="str">
        <f aca="false">IF(OR(P109="",R109=""),"",P109*R109)</f>
        <v/>
      </c>
      <c r="T109" s="14"/>
      <c r="U109" s="14"/>
      <c r="V109" s="14"/>
      <c r="W109" s="14"/>
      <c r="X109" s="18" t="str">
        <f aca="false">IF(S109="","",S109+N(T109)+N(U109)+N(V109)+N(W109))</f>
        <v/>
      </c>
      <c r="Y109" s="4"/>
      <c r="Z109" s="15"/>
      <c r="AA109" s="14"/>
      <c r="AB109" s="19"/>
      <c r="AC109" s="4"/>
      <c r="AD109" s="15"/>
      <c r="AE109" s="14"/>
      <c r="AF109" s="14"/>
      <c r="AG109" s="14"/>
      <c r="AH109" s="18" t="str">
        <f aca="false">IF(AND(AC109="Sold",AE109&lt;&gt;"",AF109&lt;&gt;""),AE109-AF109,"")</f>
        <v/>
      </c>
      <c r="AI109" s="18" t="str">
        <f aca="false">IF(AND(AC109="Sold",AF109&lt;&gt;"",X109&lt;&gt;""),AF109-N(AG109)-X109,"")</f>
        <v/>
      </c>
      <c r="AJ109" s="20" t="str">
        <f aca="false">IF(AND(AI109&lt;&gt;"",N(AE109)&gt;0),AI109/AE109,"")</f>
        <v/>
      </c>
      <c r="AK109" s="20" t="str">
        <f aca="false">IF(AND(AI109&lt;&gt;"",N(X109)&gt;0),AI109/X109,"")</f>
        <v/>
      </c>
      <c r="AL109" s="21" t="str">
        <f aca="false">IF(AND(AC109="Sold",AD109&lt;&gt;"",Z109&lt;&gt;""),AD109-Z109,"")</f>
        <v/>
      </c>
      <c r="AM109" s="20" t="str">
        <f aca="false">IF(AND(AC109="Sold",N(AA109)&gt;0,AE109&lt;&gt;""),1-AE109/AA109,"")</f>
        <v/>
      </c>
      <c r="AN109" s="21" t="str">
        <f aca="true">IF(AND(AC109&lt;&gt;"Sold",AC109&lt;&gt;"",Z109&lt;&gt;""),TODAY()-Z109,"")</f>
        <v/>
      </c>
      <c r="AO109" s="4"/>
      <c r="AP109" s="4"/>
    </row>
    <row r="110" customFormat="false" ht="1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14"/>
      <c r="O110" s="15"/>
      <c r="P110" s="16"/>
      <c r="Q110" s="4"/>
      <c r="R110" s="17"/>
      <c r="S110" s="18" t="str">
        <f aca="false">IF(OR(P110="",R110=""),"",P110*R110)</f>
        <v/>
      </c>
      <c r="T110" s="14"/>
      <c r="U110" s="14"/>
      <c r="V110" s="14"/>
      <c r="W110" s="14"/>
      <c r="X110" s="18" t="str">
        <f aca="false">IF(S110="","",S110+N(T110)+N(U110)+N(V110)+N(W110))</f>
        <v/>
      </c>
      <c r="Y110" s="4"/>
      <c r="Z110" s="15"/>
      <c r="AA110" s="14"/>
      <c r="AB110" s="19"/>
      <c r="AC110" s="4"/>
      <c r="AD110" s="15"/>
      <c r="AE110" s="14"/>
      <c r="AF110" s="14"/>
      <c r="AG110" s="14"/>
      <c r="AH110" s="18" t="str">
        <f aca="false">IF(AND(AC110="Sold",AE110&lt;&gt;"",AF110&lt;&gt;""),AE110-AF110,"")</f>
        <v/>
      </c>
      <c r="AI110" s="18" t="str">
        <f aca="false">IF(AND(AC110="Sold",AF110&lt;&gt;"",X110&lt;&gt;""),AF110-N(AG110)-X110,"")</f>
        <v/>
      </c>
      <c r="AJ110" s="20" t="str">
        <f aca="false">IF(AND(AI110&lt;&gt;"",N(AE110)&gt;0),AI110/AE110,"")</f>
        <v/>
      </c>
      <c r="AK110" s="20" t="str">
        <f aca="false">IF(AND(AI110&lt;&gt;"",N(X110)&gt;0),AI110/X110,"")</f>
        <v/>
      </c>
      <c r="AL110" s="21" t="str">
        <f aca="false">IF(AND(AC110="Sold",AD110&lt;&gt;"",Z110&lt;&gt;""),AD110-Z110,"")</f>
        <v/>
      </c>
      <c r="AM110" s="20" t="str">
        <f aca="false">IF(AND(AC110="Sold",N(AA110)&gt;0,AE110&lt;&gt;""),1-AE110/AA110,"")</f>
        <v/>
      </c>
      <c r="AN110" s="21" t="str">
        <f aca="true">IF(AND(AC110&lt;&gt;"Sold",AC110&lt;&gt;"",Z110&lt;&gt;""),TODAY()-Z110,"")</f>
        <v/>
      </c>
      <c r="AO110" s="4"/>
      <c r="AP110" s="4"/>
    </row>
    <row r="111" customFormat="false" ht="1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14"/>
      <c r="O111" s="15"/>
      <c r="P111" s="16"/>
      <c r="Q111" s="4"/>
      <c r="R111" s="17"/>
      <c r="S111" s="18" t="str">
        <f aca="false">IF(OR(P111="",R111=""),"",P111*R111)</f>
        <v/>
      </c>
      <c r="T111" s="14"/>
      <c r="U111" s="14"/>
      <c r="V111" s="14"/>
      <c r="W111" s="14"/>
      <c r="X111" s="18" t="str">
        <f aca="false">IF(S111="","",S111+N(T111)+N(U111)+N(V111)+N(W111))</f>
        <v/>
      </c>
      <c r="Y111" s="4"/>
      <c r="Z111" s="15"/>
      <c r="AA111" s="14"/>
      <c r="AB111" s="19"/>
      <c r="AC111" s="4"/>
      <c r="AD111" s="15"/>
      <c r="AE111" s="14"/>
      <c r="AF111" s="14"/>
      <c r="AG111" s="14"/>
      <c r="AH111" s="18" t="str">
        <f aca="false">IF(AND(AC111="Sold",AE111&lt;&gt;"",AF111&lt;&gt;""),AE111-AF111,"")</f>
        <v/>
      </c>
      <c r="AI111" s="18" t="str">
        <f aca="false">IF(AND(AC111="Sold",AF111&lt;&gt;"",X111&lt;&gt;""),AF111-N(AG111)-X111,"")</f>
        <v/>
      </c>
      <c r="AJ111" s="20" t="str">
        <f aca="false">IF(AND(AI111&lt;&gt;"",N(AE111)&gt;0),AI111/AE111,"")</f>
        <v/>
      </c>
      <c r="AK111" s="20" t="str">
        <f aca="false">IF(AND(AI111&lt;&gt;"",N(X111)&gt;0),AI111/X111,"")</f>
        <v/>
      </c>
      <c r="AL111" s="21" t="str">
        <f aca="false">IF(AND(AC111="Sold",AD111&lt;&gt;"",Z111&lt;&gt;""),AD111-Z111,"")</f>
        <v/>
      </c>
      <c r="AM111" s="20" t="str">
        <f aca="false">IF(AND(AC111="Sold",N(AA111)&gt;0,AE111&lt;&gt;""),1-AE111/AA111,"")</f>
        <v/>
      </c>
      <c r="AN111" s="21" t="str">
        <f aca="true">IF(AND(AC111&lt;&gt;"Sold",AC111&lt;&gt;"",Z111&lt;&gt;""),TODAY()-Z111,"")</f>
        <v/>
      </c>
      <c r="AO111" s="4"/>
      <c r="AP111" s="4"/>
    </row>
    <row r="112" customFormat="false" ht="1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14"/>
      <c r="O112" s="15"/>
      <c r="P112" s="16"/>
      <c r="Q112" s="4"/>
      <c r="R112" s="17"/>
      <c r="S112" s="18" t="str">
        <f aca="false">IF(OR(P112="",R112=""),"",P112*R112)</f>
        <v/>
      </c>
      <c r="T112" s="14"/>
      <c r="U112" s="14"/>
      <c r="V112" s="14"/>
      <c r="W112" s="14"/>
      <c r="X112" s="18" t="str">
        <f aca="false">IF(S112="","",S112+N(T112)+N(U112)+N(V112)+N(W112))</f>
        <v/>
      </c>
      <c r="Y112" s="4"/>
      <c r="Z112" s="15"/>
      <c r="AA112" s="14"/>
      <c r="AB112" s="19"/>
      <c r="AC112" s="4"/>
      <c r="AD112" s="15"/>
      <c r="AE112" s="14"/>
      <c r="AF112" s="14"/>
      <c r="AG112" s="14"/>
      <c r="AH112" s="18" t="str">
        <f aca="false">IF(AND(AC112="Sold",AE112&lt;&gt;"",AF112&lt;&gt;""),AE112-AF112,"")</f>
        <v/>
      </c>
      <c r="AI112" s="18" t="str">
        <f aca="false">IF(AND(AC112="Sold",AF112&lt;&gt;"",X112&lt;&gt;""),AF112-N(AG112)-X112,"")</f>
        <v/>
      </c>
      <c r="AJ112" s="20" t="str">
        <f aca="false">IF(AND(AI112&lt;&gt;"",N(AE112)&gt;0),AI112/AE112,"")</f>
        <v/>
      </c>
      <c r="AK112" s="20" t="str">
        <f aca="false">IF(AND(AI112&lt;&gt;"",N(X112)&gt;0),AI112/X112,"")</f>
        <v/>
      </c>
      <c r="AL112" s="21" t="str">
        <f aca="false">IF(AND(AC112="Sold",AD112&lt;&gt;"",Z112&lt;&gt;""),AD112-Z112,"")</f>
        <v/>
      </c>
      <c r="AM112" s="20" t="str">
        <f aca="false">IF(AND(AC112="Sold",N(AA112)&gt;0,AE112&lt;&gt;""),1-AE112/AA112,"")</f>
        <v/>
      </c>
      <c r="AN112" s="21" t="str">
        <f aca="true">IF(AND(AC112&lt;&gt;"Sold",AC112&lt;&gt;"",Z112&lt;&gt;""),TODAY()-Z112,"")</f>
        <v/>
      </c>
      <c r="AO112" s="4"/>
      <c r="AP112" s="4"/>
    </row>
    <row r="113" customFormat="false" ht="1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14"/>
      <c r="O113" s="15"/>
      <c r="P113" s="16"/>
      <c r="Q113" s="4"/>
      <c r="R113" s="17"/>
      <c r="S113" s="18" t="str">
        <f aca="false">IF(OR(P113="",R113=""),"",P113*R113)</f>
        <v/>
      </c>
      <c r="T113" s="14"/>
      <c r="U113" s="14"/>
      <c r="V113" s="14"/>
      <c r="W113" s="14"/>
      <c r="X113" s="18" t="str">
        <f aca="false">IF(S113="","",S113+N(T113)+N(U113)+N(V113)+N(W113))</f>
        <v/>
      </c>
      <c r="Y113" s="4"/>
      <c r="Z113" s="15"/>
      <c r="AA113" s="14"/>
      <c r="AB113" s="19"/>
      <c r="AC113" s="4"/>
      <c r="AD113" s="15"/>
      <c r="AE113" s="14"/>
      <c r="AF113" s="14"/>
      <c r="AG113" s="14"/>
      <c r="AH113" s="18" t="str">
        <f aca="false">IF(AND(AC113="Sold",AE113&lt;&gt;"",AF113&lt;&gt;""),AE113-AF113,"")</f>
        <v/>
      </c>
      <c r="AI113" s="18" t="str">
        <f aca="false">IF(AND(AC113="Sold",AF113&lt;&gt;"",X113&lt;&gt;""),AF113-N(AG113)-X113,"")</f>
        <v/>
      </c>
      <c r="AJ113" s="20" t="str">
        <f aca="false">IF(AND(AI113&lt;&gt;"",N(AE113)&gt;0),AI113/AE113,"")</f>
        <v/>
      </c>
      <c r="AK113" s="20" t="str">
        <f aca="false">IF(AND(AI113&lt;&gt;"",N(X113)&gt;0),AI113/X113,"")</f>
        <v/>
      </c>
      <c r="AL113" s="21" t="str">
        <f aca="false">IF(AND(AC113="Sold",AD113&lt;&gt;"",Z113&lt;&gt;""),AD113-Z113,"")</f>
        <v/>
      </c>
      <c r="AM113" s="20" t="str">
        <f aca="false">IF(AND(AC113="Sold",N(AA113)&gt;0,AE113&lt;&gt;""),1-AE113/AA113,"")</f>
        <v/>
      </c>
      <c r="AN113" s="21" t="str">
        <f aca="true">IF(AND(AC113&lt;&gt;"Sold",AC113&lt;&gt;"",Z113&lt;&gt;""),TODAY()-Z113,"")</f>
        <v/>
      </c>
      <c r="AO113" s="4"/>
      <c r="AP113" s="4"/>
    </row>
    <row r="114" customFormat="false" ht="1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14"/>
      <c r="O114" s="15"/>
      <c r="P114" s="16"/>
      <c r="Q114" s="4"/>
      <c r="R114" s="17"/>
      <c r="S114" s="18" t="str">
        <f aca="false">IF(OR(P114="",R114=""),"",P114*R114)</f>
        <v/>
      </c>
      <c r="T114" s="14"/>
      <c r="U114" s="14"/>
      <c r="V114" s="14"/>
      <c r="W114" s="14"/>
      <c r="X114" s="18" t="str">
        <f aca="false">IF(S114="","",S114+N(T114)+N(U114)+N(V114)+N(W114))</f>
        <v/>
      </c>
      <c r="Y114" s="4"/>
      <c r="Z114" s="15"/>
      <c r="AA114" s="14"/>
      <c r="AB114" s="19"/>
      <c r="AC114" s="4"/>
      <c r="AD114" s="15"/>
      <c r="AE114" s="14"/>
      <c r="AF114" s="14"/>
      <c r="AG114" s="14"/>
      <c r="AH114" s="18" t="str">
        <f aca="false">IF(AND(AC114="Sold",AE114&lt;&gt;"",AF114&lt;&gt;""),AE114-AF114,"")</f>
        <v/>
      </c>
      <c r="AI114" s="18" t="str">
        <f aca="false">IF(AND(AC114="Sold",AF114&lt;&gt;"",X114&lt;&gt;""),AF114-N(AG114)-X114,"")</f>
        <v/>
      </c>
      <c r="AJ114" s="20" t="str">
        <f aca="false">IF(AND(AI114&lt;&gt;"",N(AE114)&gt;0),AI114/AE114,"")</f>
        <v/>
      </c>
      <c r="AK114" s="20" t="str">
        <f aca="false">IF(AND(AI114&lt;&gt;"",N(X114)&gt;0),AI114/X114,"")</f>
        <v/>
      </c>
      <c r="AL114" s="21" t="str">
        <f aca="false">IF(AND(AC114="Sold",AD114&lt;&gt;"",Z114&lt;&gt;""),AD114-Z114,"")</f>
        <v/>
      </c>
      <c r="AM114" s="20" t="str">
        <f aca="false">IF(AND(AC114="Sold",N(AA114)&gt;0,AE114&lt;&gt;""),1-AE114/AA114,"")</f>
        <v/>
      </c>
      <c r="AN114" s="21" t="str">
        <f aca="true">IF(AND(AC114&lt;&gt;"Sold",AC114&lt;&gt;"",Z114&lt;&gt;""),TODAY()-Z114,"")</f>
        <v/>
      </c>
      <c r="AO114" s="4"/>
      <c r="AP114" s="4"/>
    </row>
    <row r="115" customFormat="false" ht="1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14"/>
      <c r="O115" s="15"/>
      <c r="P115" s="16"/>
      <c r="Q115" s="4"/>
      <c r="R115" s="17"/>
      <c r="S115" s="18" t="str">
        <f aca="false">IF(OR(P115="",R115=""),"",P115*R115)</f>
        <v/>
      </c>
      <c r="T115" s="14"/>
      <c r="U115" s="14"/>
      <c r="V115" s="14"/>
      <c r="W115" s="14"/>
      <c r="X115" s="18" t="str">
        <f aca="false">IF(S115="","",S115+N(T115)+N(U115)+N(V115)+N(W115))</f>
        <v/>
      </c>
      <c r="Y115" s="4"/>
      <c r="Z115" s="15"/>
      <c r="AA115" s="14"/>
      <c r="AB115" s="19"/>
      <c r="AC115" s="4"/>
      <c r="AD115" s="15"/>
      <c r="AE115" s="14"/>
      <c r="AF115" s="14"/>
      <c r="AG115" s="14"/>
      <c r="AH115" s="18" t="str">
        <f aca="false">IF(AND(AC115="Sold",AE115&lt;&gt;"",AF115&lt;&gt;""),AE115-AF115,"")</f>
        <v/>
      </c>
      <c r="AI115" s="18" t="str">
        <f aca="false">IF(AND(AC115="Sold",AF115&lt;&gt;"",X115&lt;&gt;""),AF115-N(AG115)-X115,"")</f>
        <v/>
      </c>
      <c r="AJ115" s="20" t="str">
        <f aca="false">IF(AND(AI115&lt;&gt;"",N(AE115)&gt;0),AI115/AE115,"")</f>
        <v/>
      </c>
      <c r="AK115" s="20" t="str">
        <f aca="false">IF(AND(AI115&lt;&gt;"",N(X115)&gt;0),AI115/X115,"")</f>
        <v/>
      </c>
      <c r="AL115" s="21" t="str">
        <f aca="false">IF(AND(AC115="Sold",AD115&lt;&gt;"",Z115&lt;&gt;""),AD115-Z115,"")</f>
        <v/>
      </c>
      <c r="AM115" s="20" t="str">
        <f aca="false">IF(AND(AC115="Sold",N(AA115)&gt;0,AE115&lt;&gt;""),1-AE115/AA115,"")</f>
        <v/>
      </c>
      <c r="AN115" s="21" t="str">
        <f aca="true">IF(AND(AC115&lt;&gt;"Sold",AC115&lt;&gt;"",Z115&lt;&gt;""),TODAY()-Z115,"")</f>
        <v/>
      </c>
      <c r="AO115" s="4"/>
      <c r="AP115" s="4"/>
    </row>
    <row r="116" customFormat="false" ht="1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14"/>
      <c r="O116" s="15"/>
      <c r="P116" s="16"/>
      <c r="Q116" s="4"/>
      <c r="R116" s="17"/>
      <c r="S116" s="18" t="str">
        <f aca="false">IF(OR(P116="",R116=""),"",P116*R116)</f>
        <v/>
      </c>
      <c r="T116" s="14"/>
      <c r="U116" s="14"/>
      <c r="V116" s="14"/>
      <c r="W116" s="14"/>
      <c r="X116" s="18" t="str">
        <f aca="false">IF(S116="","",S116+N(T116)+N(U116)+N(V116)+N(W116))</f>
        <v/>
      </c>
      <c r="Y116" s="4"/>
      <c r="Z116" s="15"/>
      <c r="AA116" s="14"/>
      <c r="AB116" s="19"/>
      <c r="AC116" s="4"/>
      <c r="AD116" s="15"/>
      <c r="AE116" s="14"/>
      <c r="AF116" s="14"/>
      <c r="AG116" s="14"/>
      <c r="AH116" s="18" t="str">
        <f aca="false">IF(AND(AC116="Sold",AE116&lt;&gt;"",AF116&lt;&gt;""),AE116-AF116,"")</f>
        <v/>
      </c>
      <c r="AI116" s="18" t="str">
        <f aca="false">IF(AND(AC116="Sold",AF116&lt;&gt;"",X116&lt;&gt;""),AF116-N(AG116)-X116,"")</f>
        <v/>
      </c>
      <c r="AJ116" s="20" t="str">
        <f aca="false">IF(AND(AI116&lt;&gt;"",N(AE116)&gt;0),AI116/AE116,"")</f>
        <v/>
      </c>
      <c r="AK116" s="20" t="str">
        <f aca="false">IF(AND(AI116&lt;&gt;"",N(X116)&gt;0),AI116/X116,"")</f>
        <v/>
      </c>
      <c r="AL116" s="21" t="str">
        <f aca="false">IF(AND(AC116="Sold",AD116&lt;&gt;"",Z116&lt;&gt;""),AD116-Z116,"")</f>
        <v/>
      </c>
      <c r="AM116" s="20" t="str">
        <f aca="false">IF(AND(AC116="Sold",N(AA116)&gt;0,AE116&lt;&gt;""),1-AE116/AA116,"")</f>
        <v/>
      </c>
      <c r="AN116" s="21" t="str">
        <f aca="true">IF(AND(AC116&lt;&gt;"Sold",AC116&lt;&gt;"",Z116&lt;&gt;""),TODAY()-Z116,"")</f>
        <v/>
      </c>
      <c r="AO116" s="4"/>
      <c r="AP116" s="4"/>
    </row>
    <row r="117" customFormat="false" ht="1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14"/>
      <c r="O117" s="15"/>
      <c r="P117" s="16"/>
      <c r="Q117" s="4"/>
      <c r="R117" s="17"/>
      <c r="S117" s="18" t="str">
        <f aca="false">IF(OR(P117="",R117=""),"",P117*R117)</f>
        <v/>
      </c>
      <c r="T117" s="14"/>
      <c r="U117" s="14"/>
      <c r="V117" s="14"/>
      <c r="W117" s="14"/>
      <c r="X117" s="18" t="str">
        <f aca="false">IF(S117="","",S117+N(T117)+N(U117)+N(V117)+N(W117))</f>
        <v/>
      </c>
      <c r="Y117" s="4"/>
      <c r="Z117" s="15"/>
      <c r="AA117" s="14"/>
      <c r="AB117" s="19"/>
      <c r="AC117" s="4"/>
      <c r="AD117" s="15"/>
      <c r="AE117" s="14"/>
      <c r="AF117" s="14"/>
      <c r="AG117" s="14"/>
      <c r="AH117" s="18" t="str">
        <f aca="false">IF(AND(AC117="Sold",AE117&lt;&gt;"",AF117&lt;&gt;""),AE117-AF117,"")</f>
        <v/>
      </c>
      <c r="AI117" s="18" t="str">
        <f aca="false">IF(AND(AC117="Sold",AF117&lt;&gt;"",X117&lt;&gt;""),AF117-N(AG117)-X117,"")</f>
        <v/>
      </c>
      <c r="AJ117" s="20" t="str">
        <f aca="false">IF(AND(AI117&lt;&gt;"",N(AE117)&gt;0),AI117/AE117,"")</f>
        <v/>
      </c>
      <c r="AK117" s="20" t="str">
        <f aca="false">IF(AND(AI117&lt;&gt;"",N(X117)&gt;0),AI117/X117,"")</f>
        <v/>
      </c>
      <c r="AL117" s="21" t="str">
        <f aca="false">IF(AND(AC117="Sold",AD117&lt;&gt;"",Z117&lt;&gt;""),AD117-Z117,"")</f>
        <v/>
      </c>
      <c r="AM117" s="20" t="str">
        <f aca="false">IF(AND(AC117="Sold",N(AA117)&gt;0,AE117&lt;&gt;""),1-AE117/AA117,"")</f>
        <v/>
      </c>
      <c r="AN117" s="21" t="str">
        <f aca="true">IF(AND(AC117&lt;&gt;"Sold",AC117&lt;&gt;"",Z117&lt;&gt;""),TODAY()-Z117,"")</f>
        <v/>
      </c>
      <c r="AO117" s="4"/>
      <c r="AP117" s="4"/>
    </row>
    <row r="118" customFormat="false" ht="1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14"/>
      <c r="O118" s="15"/>
      <c r="P118" s="16"/>
      <c r="Q118" s="4"/>
      <c r="R118" s="17"/>
      <c r="S118" s="18" t="str">
        <f aca="false">IF(OR(P118="",R118=""),"",P118*R118)</f>
        <v/>
      </c>
      <c r="T118" s="14"/>
      <c r="U118" s="14"/>
      <c r="V118" s="14"/>
      <c r="W118" s="14"/>
      <c r="X118" s="18" t="str">
        <f aca="false">IF(S118="","",S118+N(T118)+N(U118)+N(V118)+N(W118))</f>
        <v/>
      </c>
      <c r="Y118" s="4"/>
      <c r="Z118" s="15"/>
      <c r="AA118" s="14"/>
      <c r="AB118" s="19"/>
      <c r="AC118" s="4"/>
      <c r="AD118" s="15"/>
      <c r="AE118" s="14"/>
      <c r="AF118" s="14"/>
      <c r="AG118" s="14"/>
      <c r="AH118" s="18" t="str">
        <f aca="false">IF(AND(AC118="Sold",AE118&lt;&gt;"",AF118&lt;&gt;""),AE118-AF118,"")</f>
        <v/>
      </c>
      <c r="AI118" s="18" t="str">
        <f aca="false">IF(AND(AC118="Sold",AF118&lt;&gt;"",X118&lt;&gt;""),AF118-N(AG118)-X118,"")</f>
        <v/>
      </c>
      <c r="AJ118" s="20" t="str">
        <f aca="false">IF(AND(AI118&lt;&gt;"",N(AE118)&gt;0),AI118/AE118,"")</f>
        <v/>
      </c>
      <c r="AK118" s="20" t="str">
        <f aca="false">IF(AND(AI118&lt;&gt;"",N(X118)&gt;0),AI118/X118,"")</f>
        <v/>
      </c>
      <c r="AL118" s="21" t="str">
        <f aca="false">IF(AND(AC118="Sold",AD118&lt;&gt;"",Z118&lt;&gt;""),AD118-Z118,"")</f>
        <v/>
      </c>
      <c r="AM118" s="20" t="str">
        <f aca="false">IF(AND(AC118="Sold",N(AA118)&gt;0,AE118&lt;&gt;""),1-AE118/AA118,"")</f>
        <v/>
      </c>
      <c r="AN118" s="21" t="str">
        <f aca="true">IF(AND(AC118&lt;&gt;"Sold",AC118&lt;&gt;"",Z118&lt;&gt;""),TODAY()-Z118,"")</f>
        <v/>
      </c>
      <c r="AO118" s="4"/>
      <c r="AP118" s="4"/>
    </row>
    <row r="119" customFormat="false" ht="1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14"/>
      <c r="O119" s="15"/>
      <c r="P119" s="16"/>
      <c r="Q119" s="4"/>
      <c r="R119" s="17"/>
      <c r="S119" s="18" t="str">
        <f aca="false">IF(OR(P119="",R119=""),"",P119*R119)</f>
        <v/>
      </c>
      <c r="T119" s="14"/>
      <c r="U119" s="14"/>
      <c r="V119" s="14"/>
      <c r="W119" s="14"/>
      <c r="X119" s="18" t="str">
        <f aca="false">IF(S119="","",S119+N(T119)+N(U119)+N(V119)+N(W119))</f>
        <v/>
      </c>
      <c r="Y119" s="4"/>
      <c r="Z119" s="15"/>
      <c r="AA119" s="14"/>
      <c r="AB119" s="19"/>
      <c r="AC119" s="4"/>
      <c r="AD119" s="15"/>
      <c r="AE119" s="14"/>
      <c r="AF119" s="14"/>
      <c r="AG119" s="14"/>
      <c r="AH119" s="18" t="str">
        <f aca="false">IF(AND(AC119="Sold",AE119&lt;&gt;"",AF119&lt;&gt;""),AE119-AF119,"")</f>
        <v/>
      </c>
      <c r="AI119" s="18" t="str">
        <f aca="false">IF(AND(AC119="Sold",AF119&lt;&gt;"",X119&lt;&gt;""),AF119-N(AG119)-X119,"")</f>
        <v/>
      </c>
      <c r="AJ119" s="20" t="str">
        <f aca="false">IF(AND(AI119&lt;&gt;"",N(AE119)&gt;0),AI119/AE119,"")</f>
        <v/>
      </c>
      <c r="AK119" s="20" t="str">
        <f aca="false">IF(AND(AI119&lt;&gt;"",N(X119)&gt;0),AI119/X119,"")</f>
        <v/>
      </c>
      <c r="AL119" s="21" t="str">
        <f aca="false">IF(AND(AC119="Sold",AD119&lt;&gt;"",Z119&lt;&gt;""),AD119-Z119,"")</f>
        <v/>
      </c>
      <c r="AM119" s="20" t="str">
        <f aca="false">IF(AND(AC119="Sold",N(AA119)&gt;0,AE119&lt;&gt;""),1-AE119/AA119,"")</f>
        <v/>
      </c>
      <c r="AN119" s="21" t="str">
        <f aca="true">IF(AND(AC119&lt;&gt;"Sold",AC119&lt;&gt;"",Z119&lt;&gt;""),TODAY()-Z119,"")</f>
        <v/>
      </c>
      <c r="AO119" s="4"/>
      <c r="AP119" s="4"/>
    </row>
    <row r="120" customFormat="false" ht="1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14"/>
      <c r="O120" s="15"/>
      <c r="P120" s="16"/>
      <c r="Q120" s="4"/>
      <c r="R120" s="17"/>
      <c r="S120" s="18" t="str">
        <f aca="false">IF(OR(P120="",R120=""),"",P120*R120)</f>
        <v/>
      </c>
      <c r="T120" s="14"/>
      <c r="U120" s="14"/>
      <c r="V120" s="14"/>
      <c r="W120" s="14"/>
      <c r="X120" s="18" t="str">
        <f aca="false">IF(S120="","",S120+N(T120)+N(U120)+N(V120)+N(W120))</f>
        <v/>
      </c>
      <c r="Y120" s="4"/>
      <c r="Z120" s="15"/>
      <c r="AA120" s="14"/>
      <c r="AB120" s="19"/>
      <c r="AC120" s="4"/>
      <c r="AD120" s="15"/>
      <c r="AE120" s="14"/>
      <c r="AF120" s="14"/>
      <c r="AG120" s="14"/>
      <c r="AH120" s="18" t="str">
        <f aca="false">IF(AND(AC120="Sold",AE120&lt;&gt;"",AF120&lt;&gt;""),AE120-AF120,"")</f>
        <v/>
      </c>
      <c r="AI120" s="18" t="str">
        <f aca="false">IF(AND(AC120="Sold",AF120&lt;&gt;"",X120&lt;&gt;""),AF120-N(AG120)-X120,"")</f>
        <v/>
      </c>
      <c r="AJ120" s="20" t="str">
        <f aca="false">IF(AND(AI120&lt;&gt;"",N(AE120)&gt;0),AI120/AE120,"")</f>
        <v/>
      </c>
      <c r="AK120" s="20" t="str">
        <f aca="false">IF(AND(AI120&lt;&gt;"",N(X120)&gt;0),AI120/X120,"")</f>
        <v/>
      </c>
      <c r="AL120" s="21" t="str">
        <f aca="false">IF(AND(AC120="Sold",AD120&lt;&gt;"",Z120&lt;&gt;""),AD120-Z120,"")</f>
        <v/>
      </c>
      <c r="AM120" s="20" t="str">
        <f aca="false">IF(AND(AC120="Sold",N(AA120)&gt;0,AE120&lt;&gt;""),1-AE120/AA120,"")</f>
        <v/>
      </c>
      <c r="AN120" s="21" t="str">
        <f aca="true">IF(AND(AC120&lt;&gt;"Sold",AC120&lt;&gt;"",Z120&lt;&gt;""),TODAY()-Z120,"")</f>
        <v/>
      </c>
      <c r="AO120" s="4"/>
      <c r="AP120" s="4"/>
    </row>
    <row r="121" customFormat="false" ht="1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14"/>
      <c r="O121" s="15"/>
      <c r="P121" s="16"/>
      <c r="Q121" s="4"/>
      <c r="R121" s="17"/>
      <c r="S121" s="18" t="str">
        <f aca="false">IF(OR(P121="",R121=""),"",P121*R121)</f>
        <v/>
      </c>
      <c r="T121" s="14"/>
      <c r="U121" s="14"/>
      <c r="V121" s="14"/>
      <c r="W121" s="14"/>
      <c r="X121" s="18" t="str">
        <f aca="false">IF(S121="","",S121+N(T121)+N(U121)+N(V121)+N(W121))</f>
        <v/>
      </c>
      <c r="Y121" s="4"/>
      <c r="Z121" s="15"/>
      <c r="AA121" s="14"/>
      <c r="AB121" s="19"/>
      <c r="AC121" s="4"/>
      <c r="AD121" s="15"/>
      <c r="AE121" s="14"/>
      <c r="AF121" s="14"/>
      <c r="AG121" s="14"/>
      <c r="AH121" s="18" t="str">
        <f aca="false">IF(AND(AC121="Sold",AE121&lt;&gt;"",AF121&lt;&gt;""),AE121-AF121,"")</f>
        <v/>
      </c>
      <c r="AI121" s="18" t="str">
        <f aca="false">IF(AND(AC121="Sold",AF121&lt;&gt;"",X121&lt;&gt;""),AF121-N(AG121)-X121,"")</f>
        <v/>
      </c>
      <c r="AJ121" s="20" t="str">
        <f aca="false">IF(AND(AI121&lt;&gt;"",N(AE121)&gt;0),AI121/AE121,"")</f>
        <v/>
      </c>
      <c r="AK121" s="20" t="str">
        <f aca="false">IF(AND(AI121&lt;&gt;"",N(X121)&gt;0),AI121/X121,"")</f>
        <v/>
      </c>
      <c r="AL121" s="21" t="str">
        <f aca="false">IF(AND(AC121="Sold",AD121&lt;&gt;"",Z121&lt;&gt;""),AD121-Z121,"")</f>
        <v/>
      </c>
      <c r="AM121" s="20" t="str">
        <f aca="false">IF(AND(AC121="Sold",N(AA121)&gt;0,AE121&lt;&gt;""),1-AE121/AA121,"")</f>
        <v/>
      </c>
      <c r="AN121" s="21" t="str">
        <f aca="true">IF(AND(AC121&lt;&gt;"Sold",AC121&lt;&gt;"",Z121&lt;&gt;""),TODAY()-Z121,"")</f>
        <v/>
      </c>
      <c r="AO121" s="4"/>
      <c r="AP121" s="4"/>
    </row>
    <row r="122" customFormat="false" ht="1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14"/>
      <c r="O122" s="15"/>
      <c r="P122" s="16"/>
      <c r="Q122" s="4"/>
      <c r="R122" s="17"/>
      <c r="S122" s="18" t="str">
        <f aca="false">IF(OR(P122="",R122=""),"",P122*R122)</f>
        <v/>
      </c>
      <c r="T122" s="14"/>
      <c r="U122" s="14"/>
      <c r="V122" s="14"/>
      <c r="W122" s="14"/>
      <c r="X122" s="18" t="str">
        <f aca="false">IF(S122="","",S122+N(T122)+N(U122)+N(V122)+N(W122))</f>
        <v/>
      </c>
      <c r="Y122" s="4"/>
      <c r="Z122" s="15"/>
      <c r="AA122" s="14"/>
      <c r="AB122" s="19"/>
      <c r="AC122" s="4"/>
      <c r="AD122" s="15"/>
      <c r="AE122" s="14"/>
      <c r="AF122" s="14"/>
      <c r="AG122" s="14"/>
      <c r="AH122" s="18" t="str">
        <f aca="false">IF(AND(AC122="Sold",AE122&lt;&gt;"",AF122&lt;&gt;""),AE122-AF122,"")</f>
        <v/>
      </c>
      <c r="AI122" s="18" t="str">
        <f aca="false">IF(AND(AC122="Sold",AF122&lt;&gt;"",X122&lt;&gt;""),AF122-N(AG122)-X122,"")</f>
        <v/>
      </c>
      <c r="AJ122" s="20" t="str">
        <f aca="false">IF(AND(AI122&lt;&gt;"",N(AE122)&gt;0),AI122/AE122,"")</f>
        <v/>
      </c>
      <c r="AK122" s="20" t="str">
        <f aca="false">IF(AND(AI122&lt;&gt;"",N(X122)&gt;0),AI122/X122,"")</f>
        <v/>
      </c>
      <c r="AL122" s="21" t="str">
        <f aca="false">IF(AND(AC122="Sold",AD122&lt;&gt;"",Z122&lt;&gt;""),AD122-Z122,"")</f>
        <v/>
      </c>
      <c r="AM122" s="20" t="str">
        <f aca="false">IF(AND(AC122="Sold",N(AA122)&gt;0,AE122&lt;&gt;""),1-AE122/AA122,"")</f>
        <v/>
      </c>
      <c r="AN122" s="21" t="str">
        <f aca="true">IF(AND(AC122&lt;&gt;"Sold",AC122&lt;&gt;"",Z122&lt;&gt;""),TODAY()-Z122,"")</f>
        <v/>
      </c>
      <c r="AO122" s="4"/>
      <c r="AP122" s="4"/>
    </row>
    <row r="123" customFormat="false" ht="1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14"/>
      <c r="O123" s="15"/>
      <c r="P123" s="16"/>
      <c r="Q123" s="4"/>
      <c r="R123" s="17"/>
      <c r="S123" s="18" t="str">
        <f aca="false">IF(OR(P123="",R123=""),"",P123*R123)</f>
        <v/>
      </c>
      <c r="T123" s="14"/>
      <c r="U123" s="14"/>
      <c r="V123" s="14"/>
      <c r="W123" s="14"/>
      <c r="X123" s="18" t="str">
        <f aca="false">IF(S123="","",S123+N(T123)+N(U123)+N(V123)+N(W123))</f>
        <v/>
      </c>
      <c r="Y123" s="4"/>
      <c r="Z123" s="15"/>
      <c r="AA123" s="14"/>
      <c r="AB123" s="19"/>
      <c r="AC123" s="4"/>
      <c r="AD123" s="15"/>
      <c r="AE123" s="14"/>
      <c r="AF123" s="14"/>
      <c r="AG123" s="14"/>
      <c r="AH123" s="18" t="str">
        <f aca="false">IF(AND(AC123="Sold",AE123&lt;&gt;"",AF123&lt;&gt;""),AE123-AF123,"")</f>
        <v/>
      </c>
      <c r="AI123" s="18" t="str">
        <f aca="false">IF(AND(AC123="Sold",AF123&lt;&gt;"",X123&lt;&gt;""),AF123-N(AG123)-X123,"")</f>
        <v/>
      </c>
      <c r="AJ123" s="20" t="str">
        <f aca="false">IF(AND(AI123&lt;&gt;"",N(AE123)&gt;0),AI123/AE123,"")</f>
        <v/>
      </c>
      <c r="AK123" s="20" t="str">
        <f aca="false">IF(AND(AI123&lt;&gt;"",N(X123)&gt;0),AI123/X123,"")</f>
        <v/>
      </c>
      <c r="AL123" s="21" t="str">
        <f aca="false">IF(AND(AC123="Sold",AD123&lt;&gt;"",Z123&lt;&gt;""),AD123-Z123,"")</f>
        <v/>
      </c>
      <c r="AM123" s="20" t="str">
        <f aca="false">IF(AND(AC123="Sold",N(AA123)&gt;0,AE123&lt;&gt;""),1-AE123/AA123,"")</f>
        <v/>
      </c>
      <c r="AN123" s="21" t="str">
        <f aca="true">IF(AND(AC123&lt;&gt;"Sold",AC123&lt;&gt;"",Z123&lt;&gt;""),TODAY()-Z123,"")</f>
        <v/>
      </c>
      <c r="AO123" s="4"/>
      <c r="AP123" s="4"/>
    </row>
    <row r="124" customFormat="false" ht="1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14"/>
      <c r="O124" s="15"/>
      <c r="P124" s="16"/>
      <c r="Q124" s="4"/>
      <c r="R124" s="17"/>
      <c r="S124" s="18" t="str">
        <f aca="false">IF(OR(P124="",R124=""),"",P124*R124)</f>
        <v/>
      </c>
      <c r="T124" s="14"/>
      <c r="U124" s="14"/>
      <c r="V124" s="14"/>
      <c r="W124" s="14"/>
      <c r="X124" s="18" t="str">
        <f aca="false">IF(S124="","",S124+N(T124)+N(U124)+N(V124)+N(W124))</f>
        <v/>
      </c>
      <c r="Y124" s="4"/>
      <c r="Z124" s="15"/>
      <c r="AA124" s="14"/>
      <c r="AB124" s="19"/>
      <c r="AC124" s="4"/>
      <c r="AD124" s="15"/>
      <c r="AE124" s="14"/>
      <c r="AF124" s="14"/>
      <c r="AG124" s="14"/>
      <c r="AH124" s="18" t="str">
        <f aca="false">IF(AND(AC124="Sold",AE124&lt;&gt;"",AF124&lt;&gt;""),AE124-AF124,"")</f>
        <v/>
      </c>
      <c r="AI124" s="18" t="str">
        <f aca="false">IF(AND(AC124="Sold",AF124&lt;&gt;"",X124&lt;&gt;""),AF124-N(AG124)-X124,"")</f>
        <v/>
      </c>
      <c r="AJ124" s="20" t="str">
        <f aca="false">IF(AND(AI124&lt;&gt;"",N(AE124)&gt;0),AI124/AE124,"")</f>
        <v/>
      </c>
      <c r="AK124" s="20" t="str">
        <f aca="false">IF(AND(AI124&lt;&gt;"",N(X124)&gt;0),AI124/X124,"")</f>
        <v/>
      </c>
      <c r="AL124" s="21" t="str">
        <f aca="false">IF(AND(AC124="Sold",AD124&lt;&gt;"",Z124&lt;&gt;""),AD124-Z124,"")</f>
        <v/>
      </c>
      <c r="AM124" s="20" t="str">
        <f aca="false">IF(AND(AC124="Sold",N(AA124)&gt;0,AE124&lt;&gt;""),1-AE124/AA124,"")</f>
        <v/>
      </c>
      <c r="AN124" s="21" t="str">
        <f aca="true">IF(AND(AC124&lt;&gt;"Sold",AC124&lt;&gt;"",Z124&lt;&gt;""),TODAY()-Z124,"")</f>
        <v/>
      </c>
      <c r="AO124" s="4"/>
      <c r="AP124" s="4"/>
    </row>
    <row r="125" customFormat="false" ht="1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14"/>
      <c r="O125" s="15"/>
      <c r="P125" s="16"/>
      <c r="Q125" s="4"/>
      <c r="R125" s="17"/>
      <c r="S125" s="18" t="str">
        <f aca="false">IF(OR(P125="",R125=""),"",P125*R125)</f>
        <v/>
      </c>
      <c r="T125" s="14"/>
      <c r="U125" s="14"/>
      <c r="V125" s="14"/>
      <c r="W125" s="14"/>
      <c r="X125" s="18" t="str">
        <f aca="false">IF(S125="","",S125+N(T125)+N(U125)+N(V125)+N(W125))</f>
        <v/>
      </c>
      <c r="Y125" s="4"/>
      <c r="Z125" s="15"/>
      <c r="AA125" s="14"/>
      <c r="AB125" s="19"/>
      <c r="AC125" s="4"/>
      <c r="AD125" s="15"/>
      <c r="AE125" s="14"/>
      <c r="AF125" s="14"/>
      <c r="AG125" s="14"/>
      <c r="AH125" s="18" t="str">
        <f aca="false">IF(AND(AC125="Sold",AE125&lt;&gt;"",AF125&lt;&gt;""),AE125-AF125,"")</f>
        <v/>
      </c>
      <c r="AI125" s="18" t="str">
        <f aca="false">IF(AND(AC125="Sold",AF125&lt;&gt;"",X125&lt;&gt;""),AF125-N(AG125)-X125,"")</f>
        <v/>
      </c>
      <c r="AJ125" s="20" t="str">
        <f aca="false">IF(AND(AI125&lt;&gt;"",N(AE125)&gt;0),AI125/AE125,"")</f>
        <v/>
      </c>
      <c r="AK125" s="20" t="str">
        <f aca="false">IF(AND(AI125&lt;&gt;"",N(X125)&gt;0),AI125/X125,"")</f>
        <v/>
      </c>
      <c r="AL125" s="21" t="str">
        <f aca="false">IF(AND(AC125="Sold",AD125&lt;&gt;"",Z125&lt;&gt;""),AD125-Z125,"")</f>
        <v/>
      </c>
      <c r="AM125" s="20" t="str">
        <f aca="false">IF(AND(AC125="Sold",N(AA125)&gt;0,AE125&lt;&gt;""),1-AE125/AA125,"")</f>
        <v/>
      </c>
      <c r="AN125" s="21" t="str">
        <f aca="true">IF(AND(AC125&lt;&gt;"Sold",AC125&lt;&gt;"",Z125&lt;&gt;""),TODAY()-Z125,"")</f>
        <v/>
      </c>
      <c r="AO125" s="4"/>
      <c r="AP125" s="4"/>
    </row>
    <row r="126" customFormat="false" ht="1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14"/>
      <c r="O126" s="15"/>
      <c r="P126" s="16"/>
      <c r="Q126" s="4"/>
      <c r="R126" s="17"/>
      <c r="S126" s="18" t="str">
        <f aca="false">IF(OR(P126="",R126=""),"",P126*R126)</f>
        <v/>
      </c>
      <c r="T126" s="14"/>
      <c r="U126" s="14"/>
      <c r="V126" s="14"/>
      <c r="W126" s="14"/>
      <c r="X126" s="18" t="str">
        <f aca="false">IF(S126="","",S126+N(T126)+N(U126)+N(V126)+N(W126))</f>
        <v/>
      </c>
      <c r="Y126" s="4"/>
      <c r="Z126" s="15"/>
      <c r="AA126" s="14"/>
      <c r="AB126" s="19"/>
      <c r="AC126" s="4"/>
      <c r="AD126" s="15"/>
      <c r="AE126" s="14"/>
      <c r="AF126" s="14"/>
      <c r="AG126" s="14"/>
      <c r="AH126" s="18" t="str">
        <f aca="false">IF(AND(AC126="Sold",AE126&lt;&gt;"",AF126&lt;&gt;""),AE126-AF126,"")</f>
        <v/>
      </c>
      <c r="AI126" s="18" t="str">
        <f aca="false">IF(AND(AC126="Sold",AF126&lt;&gt;"",X126&lt;&gt;""),AF126-N(AG126)-X126,"")</f>
        <v/>
      </c>
      <c r="AJ126" s="20" t="str">
        <f aca="false">IF(AND(AI126&lt;&gt;"",N(AE126)&gt;0),AI126/AE126,"")</f>
        <v/>
      </c>
      <c r="AK126" s="20" t="str">
        <f aca="false">IF(AND(AI126&lt;&gt;"",N(X126)&gt;0),AI126/X126,"")</f>
        <v/>
      </c>
      <c r="AL126" s="21" t="str">
        <f aca="false">IF(AND(AC126="Sold",AD126&lt;&gt;"",Z126&lt;&gt;""),AD126-Z126,"")</f>
        <v/>
      </c>
      <c r="AM126" s="20" t="str">
        <f aca="false">IF(AND(AC126="Sold",N(AA126)&gt;0,AE126&lt;&gt;""),1-AE126/AA126,"")</f>
        <v/>
      </c>
      <c r="AN126" s="21" t="str">
        <f aca="true">IF(AND(AC126&lt;&gt;"Sold",AC126&lt;&gt;"",Z126&lt;&gt;""),TODAY()-Z126,"")</f>
        <v/>
      </c>
      <c r="AO126" s="4"/>
      <c r="AP126" s="4"/>
    </row>
    <row r="127" customFormat="false" ht="1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14"/>
      <c r="O127" s="15"/>
      <c r="P127" s="16"/>
      <c r="Q127" s="4"/>
      <c r="R127" s="17"/>
      <c r="S127" s="18" t="str">
        <f aca="false">IF(OR(P127="",R127=""),"",P127*R127)</f>
        <v/>
      </c>
      <c r="T127" s="14"/>
      <c r="U127" s="14"/>
      <c r="V127" s="14"/>
      <c r="W127" s="14"/>
      <c r="X127" s="18" t="str">
        <f aca="false">IF(S127="","",S127+N(T127)+N(U127)+N(V127)+N(W127))</f>
        <v/>
      </c>
      <c r="Y127" s="4"/>
      <c r="Z127" s="15"/>
      <c r="AA127" s="14"/>
      <c r="AB127" s="19"/>
      <c r="AC127" s="4"/>
      <c r="AD127" s="15"/>
      <c r="AE127" s="14"/>
      <c r="AF127" s="14"/>
      <c r="AG127" s="14"/>
      <c r="AH127" s="18" t="str">
        <f aca="false">IF(AND(AC127="Sold",AE127&lt;&gt;"",AF127&lt;&gt;""),AE127-AF127,"")</f>
        <v/>
      </c>
      <c r="AI127" s="18" t="str">
        <f aca="false">IF(AND(AC127="Sold",AF127&lt;&gt;"",X127&lt;&gt;""),AF127-N(AG127)-X127,"")</f>
        <v/>
      </c>
      <c r="AJ127" s="20" t="str">
        <f aca="false">IF(AND(AI127&lt;&gt;"",N(AE127)&gt;0),AI127/AE127,"")</f>
        <v/>
      </c>
      <c r="AK127" s="20" t="str">
        <f aca="false">IF(AND(AI127&lt;&gt;"",N(X127)&gt;0),AI127/X127,"")</f>
        <v/>
      </c>
      <c r="AL127" s="21" t="str">
        <f aca="false">IF(AND(AC127="Sold",AD127&lt;&gt;"",Z127&lt;&gt;""),AD127-Z127,"")</f>
        <v/>
      </c>
      <c r="AM127" s="20" t="str">
        <f aca="false">IF(AND(AC127="Sold",N(AA127)&gt;0,AE127&lt;&gt;""),1-AE127/AA127,"")</f>
        <v/>
      </c>
      <c r="AN127" s="21" t="str">
        <f aca="true">IF(AND(AC127&lt;&gt;"Sold",AC127&lt;&gt;"",Z127&lt;&gt;""),TODAY()-Z127,"")</f>
        <v/>
      </c>
      <c r="AO127" s="4"/>
      <c r="AP127" s="4"/>
    </row>
    <row r="128" customFormat="false" ht="1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14"/>
      <c r="O128" s="15"/>
      <c r="P128" s="16"/>
      <c r="Q128" s="4"/>
      <c r="R128" s="17"/>
      <c r="S128" s="18" t="str">
        <f aca="false">IF(OR(P128="",R128=""),"",P128*R128)</f>
        <v/>
      </c>
      <c r="T128" s="14"/>
      <c r="U128" s="14"/>
      <c r="V128" s="14"/>
      <c r="W128" s="14"/>
      <c r="X128" s="18" t="str">
        <f aca="false">IF(S128="","",S128+N(T128)+N(U128)+N(V128)+N(W128))</f>
        <v/>
      </c>
      <c r="Y128" s="4"/>
      <c r="Z128" s="15"/>
      <c r="AA128" s="14"/>
      <c r="AB128" s="19"/>
      <c r="AC128" s="4"/>
      <c r="AD128" s="15"/>
      <c r="AE128" s="14"/>
      <c r="AF128" s="14"/>
      <c r="AG128" s="14"/>
      <c r="AH128" s="18" t="str">
        <f aca="false">IF(AND(AC128="Sold",AE128&lt;&gt;"",AF128&lt;&gt;""),AE128-AF128,"")</f>
        <v/>
      </c>
      <c r="AI128" s="18" t="str">
        <f aca="false">IF(AND(AC128="Sold",AF128&lt;&gt;"",X128&lt;&gt;""),AF128-N(AG128)-X128,"")</f>
        <v/>
      </c>
      <c r="AJ128" s="20" t="str">
        <f aca="false">IF(AND(AI128&lt;&gt;"",N(AE128)&gt;0),AI128/AE128,"")</f>
        <v/>
      </c>
      <c r="AK128" s="20" t="str">
        <f aca="false">IF(AND(AI128&lt;&gt;"",N(X128)&gt;0),AI128/X128,"")</f>
        <v/>
      </c>
      <c r="AL128" s="21" t="str">
        <f aca="false">IF(AND(AC128="Sold",AD128&lt;&gt;"",Z128&lt;&gt;""),AD128-Z128,"")</f>
        <v/>
      </c>
      <c r="AM128" s="20" t="str">
        <f aca="false">IF(AND(AC128="Sold",N(AA128)&gt;0,AE128&lt;&gt;""),1-AE128/AA128,"")</f>
        <v/>
      </c>
      <c r="AN128" s="21" t="str">
        <f aca="true">IF(AND(AC128&lt;&gt;"Sold",AC128&lt;&gt;"",Z128&lt;&gt;""),TODAY()-Z128,"")</f>
        <v/>
      </c>
      <c r="AO128" s="4"/>
      <c r="AP128" s="4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14"/>
      <c r="O129" s="15"/>
      <c r="P129" s="16"/>
      <c r="Q129" s="4"/>
      <c r="R129" s="17"/>
      <c r="S129" s="18" t="str">
        <f aca="false">IF(OR(P129="",R129=""),"",P129*R129)</f>
        <v/>
      </c>
      <c r="T129" s="14"/>
      <c r="U129" s="14"/>
      <c r="V129" s="14"/>
      <c r="W129" s="14"/>
      <c r="X129" s="18" t="str">
        <f aca="false">IF(S129="","",S129+N(T129)+N(U129)+N(V129)+N(W129))</f>
        <v/>
      </c>
      <c r="Y129" s="4"/>
      <c r="Z129" s="15"/>
      <c r="AA129" s="14"/>
      <c r="AB129" s="19"/>
      <c r="AC129" s="4"/>
      <c r="AD129" s="15"/>
      <c r="AE129" s="14"/>
      <c r="AF129" s="14"/>
      <c r="AG129" s="14"/>
      <c r="AH129" s="18" t="str">
        <f aca="false">IF(AND(AC129="Sold",AE129&lt;&gt;"",AF129&lt;&gt;""),AE129-AF129,"")</f>
        <v/>
      </c>
      <c r="AI129" s="18" t="str">
        <f aca="false">IF(AND(AC129="Sold",AF129&lt;&gt;"",X129&lt;&gt;""),AF129-N(AG129)-X129,"")</f>
        <v/>
      </c>
      <c r="AJ129" s="20" t="str">
        <f aca="false">IF(AND(AI129&lt;&gt;"",N(AE129)&gt;0),AI129/AE129,"")</f>
        <v/>
      </c>
      <c r="AK129" s="20" t="str">
        <f aca="false">IF(AND(AI129&lt;&gt;"",N(X129)&gt;0),AI129/X129,"")</f>
        <v/>
      </c>
      <c r="AL129" s="21" t="str">
        <f aca="false">IF(AND(AC129="Sold",AD129&lt;&gt;"",Z129&lt;&gt;""),AD129-Z129,"")</f>
        <v/>
      </c>
      <c r="AM129" s="20" t="str">
        <f aca="false">IF(AND(AC129="Sold",N(AA129)&gt;0,AE129&lt;&gt;""),1-AE129/AA129,"")</f>
        <v/>
      </c>
      <c r="AN129" s="21" t="str">
        <f aca="true">IF(AND(AC129&lt;&gt;"Sold",AC129&lt;&gt;"",Z129&lt;&gt;""),TODAY()-Z129,"")</f>
        <v/>
      </c>
      <c r="AO129" s="4"/>
      <c r="AP129" s="4"/>
    </row>
    <row r="130" customFormat="false" ht="1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14"/>
      <c r="O130" s="15"/>
      <c r="P130" s="16"/>
      <c r="Q130" s="4"/>
      <c r="R130" s="17"/>
      <c r="S130" s="18" t="str">
        <f aca="false">IF(OR(P130="",R130=""),"",P130*R130)</f>
        <v/>
      </c>
      <c r="T130" s="14"/>
      <c r="U130" s="14"/>
      <c r="V130" s="14"/>
      <c r="W130" s="14"/>
      <c r="X130" s="18" t="str">
        <f aca="false">IF(S130="","",S130+N(T130)+N(U130)+N(V130)+N(W130))</f>
        <v/>
      </c>
      <c r="Y130" s="4"/>
      <c r="Z130" s="15"/>
      <c r="AA130" s="14"/>
      <c r="AB130" s="19"/>
      <c r="AC130" s="4"/>
      <c r="AD130" s="15"/>
      <c r="AE130" s="14"/>
      <c r="AF130" s="14"/>
      <c r="AG130" s="14"/>
      <c r="AH130" s="18" t="str">
        <f aca="false">IF(AND(AC130="Sold",AE130&lt;&gt;"",AF130&lt;&gt;""),AE130-AF130,"")</f>
        <v/>
      </c>
      <c r="AI130" s="18" t="str">
        <f aca="false">IF(AND(AC130="Sold",AF130&lt;&gt;"",X130&lt;&gt;""),AF130-N(AG130)-X130,"")</f>
        <v/>
      </c>
      <c r="AJ130" s="20" t="str">
        <f aca="false">IF(AND(AI130&lt;&gt;"",N(AE130)&gt;0),AI130/AE130,"")</f>
        <v/>
      </c>
      <c r="AK130" s="20" t="str">
        <f aca="false">IF(AND(AI130&lt;&gt;"",N(X130)&gt;0),AI130/X130,"")</f>
        <v/>
      </c>
      <c r="AL130" s="21" t="str">
        <f aca="false">IF(AND(AC130="Sold",AD130&lt;&gt;"",Z130&lt;&gt;""),AD130-Z130,"")</f>
        <v/>
      </c>
      <c r="AM130" s="20" t="str">
        <f aca="false">IF(AND(AC130="Sold",N(AA130)&gt;0,AE130&lt;&gt;""),1-AE130/AA130,"")</f>
        <v/>
      </c>
      <c r="AN130" s="21" t="str">
        <f aca="true">IF(AND(AC130&lt;&gt;"Sold",AC130&lt;&gt;"",Z130&lt;&gt;""),TODAY()-Z130,"")</f>
        <v/>
      </c>
      <c r="AO130" s="4"/>
      <c r="AP130" s="4"/>
    </row>
    <row r="131" customFormat="false" ht="1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14"/>
      <c r="O131" s="15"/>
      <c r="P131" s="16"/>
      <c r="Q131" s="4"/>
      <c r="R131" s="17"/>
      <c r="S131" s="18" t="str">
        <f aca="false">IF(OR(P131="",R131=""),"",P131*R131)</f>
        <v/>
      </c>
      <c r="T131" s="14"/>
      <c r="U131" s="14"/>
      <c r="V131" s="14"/>
      <c r="W131" s="14"/>
      <c r="X131" s="18" t="str">
        <f aca="false">IF(S131="","",S131+N(T131)+N(U131)+N(V131)+N(W131))</f>
        <v/>
      </c>
      <c r="Y131" s="4"/>
      <c r="Z131" s="15"/>
      <c r="AA131" s="14"/>
      <c r="AB131" s="19"/>
      <c r="AC131" s="4"/>
      <c r="AD131" s="15"/>
      <c r="AE131" s="14"/>
      <c r="AF131" s="14"/>
      <c r="AG131" s="14"/>
      <c r="AH131" s="18" t="str">
        <f aca="false">IF(AND(AC131="Sold",AE131&lt;&gt;"",AF131&lt;&gt;""),AE131-AF131,"")</f>
        <v/>
      </c>
      <c r="AI131" s="18" t="str">
        <f aca="false">IF(AND(AC131="Sold",AF131&lt;&gt;"",X131&lt;&gt;""),AF131-N(AG131)-X131,"")</f>
        <v/>
      </c>
      <c r="AJ131" s="20" t="str">
        <f aca="false">IF(AND(AI131&lt;&gt;"",N(AE131)&gt;0),AI131/AE131,"")</f>
        <v/>
      </c>
      <c r="AK131" s="20" t="str">
        <f aca="false">IF(AND(AI131&lt;&gt;"",N(X131)&gt;0),AI131/X131,"")</f>
        <v/>
      </c>
      <c r="AL131" s="21" t="str">
        <f aca="false">IF(AND(AC131="Sold",AD131&lt;&gt;"",Z131&lt;&gt;""),AD131-Z131,"")</f>
        <v/>
      </c>
      <c r="AM131" s="20" t="str">
        <f aca="false">IF(AND(AC131="Sold",N(AA131)&gt;0,AE131&lt;&gt;""),1-AE131/AA131,"")</f>
        <v/>
      </c>
      <c r="AN131" s="21" t="str">
        <f aca="true">IF(AND(AC131&lt;&gt;"Sold",AC131&lt;&gt;"",Z131&lt;&gt;""),TODAY()-Z131,"")</f>
        <v/>
      </c>
      <c r="AO131" s="4"/>
      <c r="AP131" s="4"/>
    </row>
    <row r="132" customFormat="false" ht="1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14"/>
      <c r="O132" s="15"/>
      <c r="P132" s="16"/>
      <c r="Q132" s="4"/>
      <c r="R132" s="17"/>
      <c r="S132" s="18" t="str">
        <f aca="false">IF(OR(P132="",R132=""),"",P132*R132)</f>
        <v/>
      </c>
      <c r="T132" s="14"/>
      <c r="U132" s="14"/>
      <c r="V132" s="14"/>
      <c r="W132" s="14"/>
      <c r="X132" s="18" t="str">
        <f aca="false">IF(S132="","",S132+N(T132)+N(U132)+N(V132)+N(W132))</f>
        <v/>
      </c>
      <c r="Y132" s="4"/>
      <c r="Z132" s="15"/>
      <c r="AA132" s="14"/>
      <c r="AB132" s="19"/>
      <c r="AC132" s="4"/>
      <c r="AD132" s="15"/>
      <c r="AE132" s="14"/>
      <c r="AF132" s="14"/>
      <c r="AG132" s="14"/>
      <c r="AH132" s="18" t="str">
        <f aca="false">IF(AND(AC132="Sold",AE132&lt;&gt;"",AF132&lt;&gt;""),AE132-AF132,"")</f>
        <v/>
      </c>
      <c r="AI132" s="18" t="str">
        <f aca="false">IF(AND(AC132="Sold",AF132&lt;&gt;"",X132&lt;&gt;""),AF132-N(AG132)-X132,"")</f>
        <v/>
      </c>
      <c r="AJ132" s="20" t="str">
        <f aca="false">IF(AND(AI132&lt;&gt;"",N(AE132)&gt;0),AI132/AE132,"")</f>
        <v/>
      </c>
      <c r="AK132" s="20" t="str">
        <f aca="false">IF(AND(AI132&lt;&gt;"",N(X132)&gt;0),AI132/X132,"")</f>
        <v/>
      </c>
      <c r="AL132" s="21" t="str">
        <f aca="false">IF(AND(AC132="Sold",AD132&lt;&gt;"",Z132&lt;&gt;""),AD132-Z132,"")</f>
        <v/>
      </c>
      <c r="AM132" s="20" t="str">
        <f aca="false">IF(AND(AC132="Sold",N(AA132)&gt;0,AE132&lt;&gt;""),1-AE132/AA132,"")</f>
        <v/>
      </c>
      <c r="AN132" s="21" t="str">
        <f aca="true">IF(AND(AC132&lt;&gt;"Sold",AC132&lt;&gt;"",Z132&lt;&gt;""),TODAY()-Z132,"")</f>
        <v/>
      </c>
      <c r="AO132" s="4"/>
      <c r="AP132" s="4"/>
    </row>
    <row r="133" customFormat="false" ht="1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14"/>
      <c r="O133" s="15"/>
      <c r="P133" s="16"/>
      <c r="Q133" s="4"/>
      <c r="R133" s="17"/>
      <c r="S133" s="18" t="str">
        <f aca="false">IF(OR(P133="",R133=""),"",P133*R133)</f>
        <v/>
      </c>
      <c r="T133" s="14"/>
      <c r="U133" s="14"/>
      <c r="V133" s="14"/>
      <c r="W133" s="14"/>
      <c r="X133" s="18" t="str">
        <f aca="false">IF(S133="","",S133+N(T133)+N(U133)+N(V133)+N(W133))</f>
        <v/>
      </c>
      <c r="Y133" s="4"/>
      <c r="Z133" s="15"/>
      <c r="AA133" s="14"/>
      <c r="AB133" s="19"/>
      <c r="AC133" s="4"/>
      <c r="AD133" s="15"/>
      <c r="AE133" s="14"/>
      <c r="AF133" s="14"/>
      <c r="AG133" s="14"/>
      <c r="AH133" s="18" t="str">
        <f aca="false">IF(AND(AC133="Sold",AE133&lt;&gt;"",AF133&lt;&gt;""),AE133-AF133,"")</f>
        <v/>
      </c>
      <c r="AI133" s="18" t="str">
        <f aca="false">IF(AND(AC133="Sold",AF133&lt;&gt;"",X133&lt;&gt;""),AF133-N(AG133)-X133,"")</f>
        <v/>
      </c>
      <c r="AJ133" s="20" t="str">
        <f aca="false">IF(AND(AI133&lt;&gt;"",N(AE133)&gt;0),AI133/AE133,"")</f>
        <v/>
      </c>
      <c r="AK133" s="20" t="str">
        <f aca="false">IF(AND(AI133&lt;&gt;"",N(X133)&gt;0),AI133/X133,"")</f>
        <v/>
      </c>
      <c r="AL133" s="21" t="str">
        <f aca="false">IF(AND(AC133="Sold",AD133&lt;&gt;"",Z133&lt;&gt;""),AD133-Z133,"")</f>
        <v/>
      </c>
      <c r="AM133" s="20" t="str">
        <f aca="false">IF(AND(AC133="Sold",N(AA133)&gt;0,AE133&lt;&gt;""),1-AE133/AA133,"")</f>
        <v/>
      </c>
      <c r="AN133" s="21" t="str">
        <f aca="true">IF(AND(AC133&lt;&gt;"Sold",AC133&lt;&gt;"",Z133&lt;&gt;""),TODAY()-Z133,"")</f>
        <v/>
      </c>
      <c r="AO133" s="4"/>
      <c r="AP133" s="4"/>
    </row>
    <row r="134" customFormat="false" ht="1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14"/>
      <c r="O134" s="15"/>
      <c r="P134" s="16"/>
      <c r="Q134" s="4"/>
      <c r="R134" s="17"/>
      <c r="S134" s="18" t="str">
        <f aca="false">IF(OR(P134="",R134=""),"",P134*R134)</f>
        <v/>
      </c>
      <c r="T134" s="14"/>
      <c r="U134" s="14"/>
      <c r="V134" s="14"/>
      <c r="W134" s="14"/>
      <c r="X134" s="18" t="str">
        <f aca="false">IF(S134="","",S134+N(T134)+N(U134)+N(V134)+N(W134))</f>
        <v/>
      </c>
      <c r="Y134" s="4"/>
      <c r="Z134" s="15"/>
      <c r="AA134" s="14"/>
      <c r="AB134" s="19"/>
      <c r="AC134" s="4"/>
      <c r="AD134" s="15"/>
      <c r="AE134" s="14"/>
      <c r="AF134" s="14"/>
      <c r="AG134" s="14"/>
      <c r="AH134" s="18" t="str">
        <f aca="false">IF(AND(AC134="Sold",AE134&lt;&gt;"",AF134&lt;&gt;""),AE134-AF134,"")</f>
        <v/>
      </c>
      <c r="AI134" s="18" t="str">
        <f aca="false">IF(AND(AC134="Sold",AF134&lt;&gt;"",X134&lt;&gt;""),AF134-N(AG134)-X134,"")</f>
        <v/>
      </c>
      <c r="AJ134" s="20" t="str">
        <f aca="false">IF(AND(AI134&lt;&gt;"",N(AE134)&gt;0),AI134/AE134,"")</f>
        <v/>
      </c>
      <c r="AK134" s="20" t="str">
        <f aca="false">IF(AND(AI134&lt;&gt;"",N(X134)&gt;0),AI134/X134,"")</f>
        <v/>
      </c>
      <c r="AL134" s="21" t="str">
        <f aca="false">IF(AND(AC134="Sold",AD134&lt;&gt;"",Z134&lt;&gt;""),AD134-Z134,"")</f>
        <v/>
      </c>
      <c r="AM134" s="20" t="str">
        <f aca="false">IF(AND(AC134="Sold",N(AA134)&gt;0,AE134&lt;&gt;""),1-AE134/AA134,"")</f>
        <v/>
      </c>
      <c r="AN134" s="21" t="str">
        <f aca="true">IF(AND(AC134&lt;&gt;"Sold",AC134&lt;&gt;"",Z134&lt;&gt;""),TODAY()-Z134,"")</f>
        <v/>
      </c>
      <c r="AO134" s="4"/>
      <c r="AP134" s="4"/>
    </row>
    <row r="135" customFormat="false" ht="1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14"/>
      <c r="O135" s="15"/>
      <c r="P135" s="16"/>
      <c r="Q135" s="4"/>
      <c r="R135" s="17"/>
      <c r="S135" s="18" t="str">
        <f aca="false">IF(OR(P135="",R135=""),"",P135*R135)</f>
        <v/>
      </c>
      <c r="T135" s="14"/>
      <c r="U135" s="14"/>
      <c r="V135" s="14"/>
      <c r="W135" s="14"/>
      <c r="X135" s="18" t="str">
        <f aca="false">IF(S135="","",S135+N(T135)+N(U135)+N(V135)+N(W135))</f>
        <v/>
      </c>
      <c r="Y135" s="4"/>
      <c r="Z135" s="15"/>
      <c r="AA135" s="14"/>
      <c r="AB135" s="19"/>
      <c r="AC135" s="4"/>
      <c r="AD135" s="15"/>
      <c r="AE135" s="14"/>
      <c r="AF135" s="14"/>
      <c r="AG135" s="14"/>
      <c r="AH135" s="18" t="str">
        <f aca="false">IF(AND(AC135="Sold",AE135&lt;&gt;"",AF135&lt;&gt;""),AE135-AF135,"")</f>
        <v/>
      </c>
      <c r="AI135" s="18" t="str">
        <f aca="false">IF(AND(AC135="Sold",AF135&lt;&gt;"",X135&lt;&gt;""),AF135-N(AG135)-X135,"")</f>
        <v/>
      </c>
      <c r="AJ135" s="20" t="str">
        <f aca="false">IF(AND(AI135&lt;&gt;"",N(AE135)&gt;0),AI135/AE135,"")</f>
        <v/>
      </c>
      <c r="AK135" s="20" t="str">
        <f aca="false">IF(AND(AI135&lt;&gt;"",N(X135)&gt;0),AI135/X135,"")</f>
        <v/>
      </c>
      <c r="AL135" s="21" t="str">
        <f aca="false">IF(AND(AC135="Sold",AD135&lt;&gt;"",Z135&lt;&gt;""),AD135-Z135,"")</f>
        <v/>
      </c>
      <c r="AM135" s="20" t="str">
        <f aca="false">IF(AND(AC135="Sold",N(AA135)&gt;0,AE135&lt;&gt;""),1-AE135/AA135,"")</f>
        <v/>
      </c>
      <c r="AN135" s="21" t="str">
        <f aca="true">IF(AND(AC135&lt;&gt;"Sold",AC135&lt;&gt;"",Z135&lt;&gt;""),TODAY()-Z135,"")</f>
        <v/>
      </c>
      <c r="AO135" s="4"/>
      <c r="AP135" s="4"/>
    </row>
    <row r="136" customFormat="false" ht="1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14"/>
      <c r="O136" s="15"/>
      <c r="P136" s="16"/>
      <c r="Q136" s="4"/>
      <c r="R136" s="17"/>
      <c r="S136" s="18" t="str">
        <f aca="false">IF(OR(P136="",R136=""),"",P136*R136)</f>
        <v/>
      </c>
      <c r="T136" s="14"/>
      <c r="U136" s="14"/>
      <c r="V136" s="14"/>
      <c r="W136" s="14"/>
      <c r="X136" s="18" t="str">
        <f aca="false">IF(S136="","",S136+N(T136)+N(U136)+N(V136)+N(W136))</f>
        <v/>
      </c>
      <c r="Y136" s="4"/>
      <c r="Z136" s="15"/>
      <c r="AA136" s="14"/>
      <c r="AB136" s="19"/>
      <c r="AC136" s="4"/>
      <c r="AD136" s="15"/>
      <c r="AE136" s="14"/>
      <c r="AF136" s="14"/>
      <c r="AG136" s="14"/>
      <c r="AH136" s="18" t="str">
        <f aca="false">IF(AND(AC136="Sold",AE136&lt;&gt;"",AF136&lt;&gt;""),AE136-AF136,"")</f>
        <v/>
      </c>
      <c r="AI136" s="18" t="str">
        <f aca="false">IF(AND(AC136="Sold",AF136&lt;&gt;"",X136&lt;&gt;""),AF136-N(AG136)-X136,"")</f>
        <v/>
      </c>
      <c r="AJ136" s="20" t="str">
        <f aca="false">IF(AND(AI136&lt;&gt;"",N(AE136)&gt;0),AI136/AE136,"")</f>
        <v/>
      </c>
      <c r="AK136" s="20" t="str">
        <f aca="false">IF(AND(AI136&lt;&gt;"",N(X136)&gt;0),AI136/X136,"")</f>
        <v/>
      </c>
      <c r="AL136" s="21" t="str">
        <f aca="false">IF(AND(AC136="Sold",AD136&lt;&gt;"",Z136&lt;&gt;""),AD136-Z136,"")</f>
        <v/>
      </c>
      <c r="AM136" s="20" t="str">
        <f aca="false">IF(AND(AC136="Sold",N(AA136)&gt;0,AE136&lt;&gt;""),1-AE136/AA136,"")</f>
        <v/>
      </c>
      <c r="AN136" s="21" t="str">
        <f aca="true">IF(AND(AC136&lt;&gt;"Sold",AC136&lt;&gt;"",Z136&lt;&gt;""),TODAY()-Z136,"")</f>
        <v/>
      </c>
      <c r="AO136" s="4"/>
      <c r="AP136" s="4"/>
    </row>
    <row r="137" customFormat="false" ht="1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14"/>
      <c r="O137" s="15"/>
      <c r="P137" s="16"/>
      <c r="Q137" s="4"/>
      <c r="R137" s="17"/>
      <c r="S137" s="18" t="str">
        <f aca="false">IF(OR(P137="",R137=""),"",P137*R137)</f>
        <v/>
      </c>
      <c r="T137" s="14"/>
      <c r="U137" s="14"/>
      <c r="V137" s="14"/>
      <c r="W137" s="14"/>
      <c r="X137" s="18" t="str">
        <f aca="false">IF(S137="","",S137+N(T137)+N(U137)+N(V137)+N(W137))</f>
        <v/>
      </c>
      <c r="Y137" s="4"/>
      <c r="Z137" s="15"/>
      <c r="AA137" s="14"/>
      <c r="AB137" s="19"/>
      <c r="AC137" s="4"/>
      <c r="AD137" s="15"/>
      <c r="AE137" s="14"/>
      <c r="AF137" s="14"/>
      <c r="AG137" s="14"/>
      <c r="AH137" s="18" t="str">
        <f aca="false">IF(AND(AC137="Sold",AE137&lt;&gt;"",AF137&lt;&gt;""),AE137-AF137,"")</f>
        <v/>
      </c>
      <c r="AI137" s="18" t="str">
        <f aca="false">IF(AND(AC137="Sold",AF137&lt;&gt;"",X137&lt;&gt;""),AF137-N(AG137)-X137,"")</f>
        <v/>
      </c>
      <c r="AJ137" s="20" t="str">
        <f aca="false">IF(AND(AI137&lt;&gt;"",N(AE137)&gt;0),AI137/AE137,"")</f>
        <v/>
      </c>
      <c r="AK137" s="20" t="str">
        <f aca="false">IF(AND(AI137&lt;&gt;"",N(X137)&gt;0),AI137/X137,"")</f>
        <v/>
      </c>
      <c r="AL137" s="21" t="str">
        <f aca="false">IF(AND(AC137="Sold",AD137&lt;&gt;"",Z137&lt;&gt;""),AD137-Z137,"")</f>
        <v/>
      </c>
      <c r="AM137" s="20" t="str">
        <f aca="false">IF(AND(AC137="Sold",N(AA137)&gt;0,AE137&lt;&gt;""),1-AE137/AA137,"")</f>
        <v/>
      </c>
      <c r="AN137" s="21" t="str">
        <f aca="true">IF(AND(AC137&lt;&gt;"Sold",AC137&lt;&gt;"",Z137&lt;&gt;""),TODAY()-Z137,"")</f>
        <v/>
      </c>
      <c r="AO137" s="4"/>
      <c r="AP137" s="4"/>
    </row>
    <row r="138" customFormat="false" ht="1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14"/>
      <c r="O138" s="15"/>
      <c r="P138" s="16"/>
      <c r="Q138" s="4"/>
      <c r="R138" s="17"/>
      <c r="S138" s="18" t="str">
        <f aca="false">IF(OR(P138="",R138=""),"",P138*R138)</f>
        <v/>
      </c>
      <c r="T138" s="14"/>
      <c r="U138" s="14"/>
      <c r="V138" s="14"/>
      <c r="W138" s="14"/>
      <c r="X138" s="18" t="str">
        <f aca="false">IF(S138="","",S138+N(T138)+N(U138)+N(V138)+N(W138))</f>
        <v/>
      </c>
      <c r="Y138" s="4"/>
      <c r="Z138" s="15"/>
      <c r="AA138" s="14"/>
      <c r="AB138" s="19"/>
      <c r="AC138" s="4"/>
      <c r="AD138" s="15"/>
      <c r="AE138" s="14"/>
      <c r="AF138" s="14"/>
      <c r="AG138" s="14"/>
      <c r="AH138" s="18" t="str">
        <f aca="false">IF(AND(AC138="Sold",AE138&lt;&gt;"",AF138&lt;&gt;""),AE138-AF138,"")</f>
        <v/>
      </c>
      <c r="AI138" s="18" t="str">
        <f aca="false">IF(AND(AC138="Sold",AF138&lt;&gt;"",X138&lt;&gt;""),AF138-N(AG138)-X138,"")</f>
        <v/>
      </c>
      <c r="AJ138" s="20" t="str">
        <f aca="false">IF(AND(AI138&lt;&gt;"",N(AE138)&gt;0),AI138/AE138,"")</f>
        <v/>
      </c>
      <c r="AK138" s="20" t="str">
        <f aca="false">IF(AND(AI138&lt;&gt;"",N(X138)&gt;0),AI138/X138,"")</f>
        <v/>
      </c>
      <c r="AL138" s="21" t="str">
        <f aca="false">IF(AND(AC138="Sold",AD138&lt;&gt;"",Z138&lt;&gt;""),AD138-Z138,"")</f>
        <v/>
      </c>
      <c r="AM138" s="20" t="str">
        <f aca="false">IF(AND(AC138="Sold",N(AA138)&gt;0,AE138&lt;&gt;""),1-AE138/AA138,"")</f>
        <v/>
      </c>
      <c r="AN138" s="21" t="str">
        <f aca="true">IF(AND(AC138&lt;&gt;"Sold",AC138&lt;&gt;"",Z138&lt;&gt;""),TODAY()-Z138,"")</f>
        <v/>
      </c>
      <c r="AO138" s="4"/>
      <c r="AP138" s="4"/>
    </row>
    <row r="139" customFormat="false" ht="1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14"/>
      <c r="O139" s="15"/>
      <c r="P139" s="16"/>
      <c r="Q139" s="4"/>
      <c r="R139" s="17"/>
      <c r="S139" s="18" t="str">
        <f aca="false">IF(OR(P139="",R139=""),"",P139*R139)</f>
        <v/>
      </c>
      <c r="T139" s="14"/>
      <c r="U139" s="14"/>
      <c r="V139" s="14"/>
      <c r="W139" s="14"/>
      <c r="X139" s="18" t="str">
        <f aca="false">IF(S139="","",S139+N(T139)+N(U139)+N(V139)+N(W139))</f>
        <v/>
      </c>
      <c r="Y139" s="4"/>
      <c r="Z139" s="15"/>
      <c r="AA139" s="14"/>
      <c r="AB139" s="19"/>
      <c r="AC139" s="4"/>
      <c r="AD139" s="15"/>
      <c r="AE139" s="14"/>
      <c r="AF139" s="14"/>
      <c r="AG139" s="14"/>
      <c r="AH139" s="18" t="str">
        <f aca="false">IF(AND(AC139="Sold",AE139&lt;&gt;"",AF139&lt;&gt;""),AE139-AF139,"")</f>
        <v/>
      </c>
      <c r="AI139" s="18" t="str">
        <f aca="false">IF(AND(AC139="Sold",AF139&lt;&gt;"",X139&lt;&gt;""),AF139-N(AG139)-X139,"")</f>
        <v/>
      </c>
      <c r="AJ139" s="20" t="str">
        <f aca="false">IF(AND(AI139&lt;&gt;"",N(AE139)&gt;0),AI139/AE139,"")</f>
        <v/>
      </c>
      <c r="AK139" s="20" t="str">
        <f aca="false">IF(AND(AI139&lt;&gt;"",N(X139)&gt;0),AI139/X139,"")</f>
        <v/>
      </c>
      <c r="AL139" s="21" t="str">
        <f aca="false">IF(AND(AC139="Sold",AD139&lt;&gt;"",Z139&lt;&gt;""),AD139-Z139,"")</f>
        <v/>
      </c>
      <c r="AM139" s="20" t="str">
        <f aca="false">IF(AND(AC139="Sold",N(AA139)&gt;0,AE139&lt;&gt;""),1-AE139/AA139,"")</f>
        <v/>
      </c>
      <c r="AN139" s="21" t="str">
        <f aca="true">IF(AND(AC139&lt;&gt;"Sold",AC139&lt;&gt;"",Z139&lt;&gt;""),TODAY()-Z139,"")</f>
        <v/>
      </c>
      <c r="AO139" s="4"/>
      <c r="AP139" s="4"/>
    </row>
    <row r="140" customFormat="false" ht="1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14"/>
      <c r="O140" s="15"/>
      <c r="P140" s="16"/>
      <c r="Q140" s="4"/>
      <c r="R140" s="17"/>
      <c r="S140" s="18" t="str">
        <f aca="false">IF(OR(P140="",R140=""),"",P140*R140)</f>
        <v/>
      </c>
      <c r="T140" s="14"/>
      <c r="U140" s="14"/>
      <c r="V140" s="14"/>
      <c r="W140" s="14"/>
      <c r="X140" s="18" t="str">
        <f aca="false">IF(S140="","",S140+N(T140)+N(U140)+N(V140)+N(W140))</f>
        <v/>
      </c>
      <c r="Y140" s="4"/>
      <c r="Z140" s="15"/>
      <c r="AA140" s="14"/>
      <c r="AB140" s="19"/>
      <c r="AC140" s="4"/>
      <c r="AD140" s="15"/>
      <c r="AE140" s="14"/>
      <c r="AF140" s="14"/>
      <c r="AG140" s="14"/>
      <c r="AH140" s="18" t="str">
        <f aca="false">IF(AND(AC140="Sold",AE140&lt;&gt;"",AF140&lt;&gt;""),AE140-AF140,"")</f>
        <v/>
      </c>
      <c r="AI140" s="18" t="str">
        <f aca="false">IF(AND(AC140="Sold",AF140&lt;&gt;"",X140&lt;&gt;""),AF140-N(AG140)-X140,"")</f>
        <v/>
      </c>
      <c r="AJ140" s="20" t="str">
        <f aca="false">IF(AND(AI140&lt;&gt;"",N(AE140)&gt;0),AI140/AE140,"")</f>
        <v/>
      </c>
      <c r="AK140" s="20" t="str">
        <f aca="false">IF(AND(AI140&lt;&gt;"",N(X140)&gt;0),AI140/X140,"")</f>
        <v/>
      </c>
      <c r="AL140" s="21" t="str">
        <f aca="false">IF(AND(AC140="Sold",AD140&lt;&gt;"",Z140&lt;&gt;""),AD140-Z140,"")</f>
        <v/>
      </c>
      <c r="AM140" s="20" t="str">
        <f aca="false">IF(AND(AC140="Sold",N(AA140)&gt;0,AE140&lt;&gt;""),1-AE140/AA140,"")</f>
        <v/>
      </c>
      <c r="AN140" s="21" t="str">
        <f aca="true">IF(AND(AC140&lt;&gt;"Sold",AC140&lt;&gt;"",Z140&lt;&gt;""),TODAY()-Z140,"")</f>
        <v/>
      </c>
      <c r="AO140" s="4"/>
      <c r="AP140" s="4"/>
    </row>
    <row r="141" customFormat="false" ht="1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14"/>
      <c r="O141" s="15"/>
      <c r="P141" s="16"/>
      <c r="Q141" s="4"/>
      <c r="R141" s="17"/>
      <c r="S141" s="18" t="str">
        <f aca="false">IF(OR(P141="",R141=""),"",P141*R141)</f>
        <v/>
      </c>
      <c r="T141" s="14"/>
      <c r="U141" s="14"/>
      <c r="V141" s="14"/>
      <c r="W141" s="14"/>
      <c r="X141" s="18" t="str">
        <f aca="false">IF(S141="","",S141+N(T141)+N(U141)+N(V141)+N(W141))</f>
        <v/>
      </c>
      <c r="Y141" s="4"/>
      <c r="Z141" s="15"/>
      <c r="AA141" s="14"/>
      <c r="AB141" s="19"/>
      <c r="AC141" s="4"/>
      <c r="AD141" s="15"/>
      <c r="AE141" s="14"/>
      <c r="AF141" s="14"/>
      <c r="AG141" s="14"/>
      <c r="AH141" s="18" t="str">
        <f aca="false">IF(AND(AC141="Sold",AE141&lt;&gt;"",AF141&lt;&gt;""),AE141-AF141,"")</f>
        <v/>
      </c>
      <c r="AI141" s="18" t="str">
        <f aca="false">IF(AND(AC141="Sold",AF141&lt;&gt;"",X141&lt;&gt;""),AF141-N(AG141)-X141,"")</f>
        <v/>
      </c>
      <c r="AJ141" s="20" t="str">
        <f aca="false">IF(AND(AI141&lt;&gt;"",N(AE141)&gt;0),AI141/AE141,"")</f>
        <v/>
      </c>
      <c r="AK141" s="20" t="str">
        <f aca="false">IF(AND(AI141&lt;&gt;"",N(X141)&gt;0),AI141/X141,"")</f>
        <v/>
      </c>
      <c r="AL141" s="21" t="str">
        <f aca="false">IF(AND(AC141="Sold",AD141&lt;&gt;"",Z141&lt;&gt;""),AD141-Z141,"")</f>
        <v/>
      </c>
      <c r="AM141" s="20" t="str">
        <f aca="false">IF(AND(AC141="Sold",N(AA141)&gt;0,AE141&lt;&gt;""),1-AE141/AA141,"")</f>
        <v/>
      </c>
      <c r="AN141" s="21" t="str">
        <f aca="true">IF(AND(AC141&lt;&gt;"Sold",AC141&lt;&gt;"",Z141&lt;&gt;""),TODAY()-Z141,"")</f>
        <v/>
      </c>
      <c r="AO141" s="4"/>
      <c r="AP141" s="4"/>
    </row>
    <row r="142" customFormat="false" ht="1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14"/>
      <c r="O142" s="15"/>
      <c r="P142" s="16"/>
      <c r="Q142" s="4"/>
      <c r="R142" s="17"/>
      <c r="S142" s="18" t="str">
        <f aca="false">IF(OR(P142="",R142=""),"",P142*R142)</f>
        <v/>
      </c>
      <c r="T142" s="14"/>
      <c r="U142" s="14"/>
      <c r="V142" s="14"/>
      <c r="W142" s="14"/>
      <c r="X142" s="18" t="str">
        <f aca="false">IF(S142="","",S142+N(T142)+N(U142)+N(V142)+N(W142))</f>
        <v/>
      </c>
      <c r="Y142" s="4"/>
      <c r="Z142" s="15"/>
      <c r="AA142" s="14"/>
      <c r="AB142" s="19"/>
      <c r="AC142" s="4"/>
      <c r="AD142" s="15"/>
      <c r="AE142" s="14"/>
      <c r="AF142" s="14"/>
      <c r="AG142" s="14"/>
      <c r="AH142" s="18" t="str">
        <f aca="false">IF(AND(AC142="Sold",AE142&lt;&gt;"",AF142&lt;&gt;""),AE142-AF142,"")</f>
        <v/>
      </c>
      <c r="AI142" s="18" t="str">
        <f aca="false">IF(AND(AC142="Sold",AF142&lt;&gt;"",X142&lt;&gt;""),AF142-N(AG142)-X142,"")</f>
        <v/>
      </c>
      <c r="AJ142" s="20" t="str">
        <f aca="false">IF(AND(AI142&lt;&gt;"",N(AE142)&gt;0),AI142/AE142,"")</f>
        <v/>
      </c>
      <c r="AK142" s="20" t="str">
        <f aca="false">IF(AND(AI142&lt;&gt;"",N(X142)&gt;0),AI142/X142,"")</f>
        <v/>
      </c>
      <c r="AL142" s="21" t="str">
        <f aca="false">IF(AND(AC142="Sold",AD142&lt;&gt;"",Z142&lt;&gt;""),AD142-Z142,"")</f>
        <v/>
      </c>
      <c r="AM142" s="20" t="str">
        <f aca="false">IF(AND(AC142="Sold",N(AA142)&gt;0,AE142&lt;&gt;""),1-AE142/AA142,"")</f>
        <v/>
      </c>
      <c r="AN142" s="21" t="str">
        <f aca="true">IF(AND(AC142&lt;&gt;"Sold",AC142&lt;&gt;"",Z142&lt;&gt;""),TODAY()-Z142,"")</f>
        <v/>
      </c>
      <c r="AO142" s="4"/>
      <c r="AP142" s="4"/>
    </row>
    <row r="143" customFormat="false" ht="1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14"/>
      <c r="O143" s="15"/>
      <c r="P143" s="16"/>
      <c r="Q143" s="4"/>
      <c r="R143" s="17"/>
      <c r="S143" s="18" t="str">
        <f aca="false">IF(OR(P143="",R143=""),"",P143*R143)</f>
        <v/>
      </c>
      <c r="T143" s="14"/>
      <c r="U143" s="14"/>
      <c r="V143" s="14"/>
      <c r="W143" s="14"/>
      <c r="X143" s="18" t="str">
        <f aca="false">IF(S143="","",S143+N(T143)+N(U143)+N(V143)+N(W143))</f>
        <v/>
      </c>
      <c r="Y143" s="4"/>
      <c r="Z143" s="15"/>
      <c r="AA143" s="14"/>
      <c r="AB143" s="19"/>
      <c r="AC143" s="4"/>
      <c r="AD143" s="15"/>
      <c r="AE143" s="14"/>
      <c r="AF143" s="14"/>
      <c r="AG143" s="14"/>
      <c r="AH143" s="18" t="str">
        <f aca="false">IF(AND(AC143="Sold",AE143&lt;&gt;"",AF143&lt;&gt;""),AE143-AF143,"")</f>
        <v/>
      </c>
      <c r="AI143" s="18" t="str">
        <f aca="false">IF(AND(AC143="Sold",AF143&lt;&gt;"",X143&lt;&gt;""),AF143-N(AG143)-X143,"")</f>
        <v/>
      </c>
      <c r="AJ143" s="20" t="str">
        <f aca="false">IF(AND(AI143&lt;&gt;"",N(AE143)&gt;0),AI143/AE143,"")</f>
        <v/>
      </c>
      <c r="AK143" s="20" t="str">
        <f aca="false">IF(AND(AI143&lt;&gt;"",N(X143)&gt;0),AI143/X143,"")</f>
        <v/>
      </c>
      <c r="AL143" s="21" t="str">
        <f aca="false">IF(AND(AC143="Sold",AD143&lt;&gt;"",Z143&lt;&gt;""),AD143-Z143,"")</f>
        <v/>
      </c>
      <c r="AM143" s="20" t="str">
        <f aca="false">IF(AND(AC143="Sold",N(AA143)&gt;0,AE143&lt;&gt;""),1-AE143/AA143,"")</f>
        <v/>
      </c>
      <c r="AN143" s="21" t="str">
        <f aca="true">IF(AND(AC143&lt;&gt;"Sold",AC143&lt;&gt;"",Z143&lt;&gt;""),TODAY()-Z143,"")</f>
        <v/>
      </c>
      <c r="AO143" s="4"/>
      <c r="AP143" s="4"/>
    </row>
    <row r="144" customFormat="false" ht="1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14"/>
      <c r="O144" s="15"/>
      <c r="P144" s="16"/>
      <c r="Q144" s="4"/>
      <c r="R144" s="17"/>
      <c r="S144" s="18" t="str">
        <f aca="false">IF(OR(P144="",R144=""),"",P144*R144)</f>
        <v/>
      </c>
      <c r="T144" s="14"/>
      <c r="U144" s="14"/>
      <c r="V144" s="14"/>
      <c r="W144" s="14"/>
      <c r="X144" s="18" t="str">
        <f aca="false">IF(S144="","",S144+N(T144)+N(U144)+N(V144)+N(W144))</f>
        <v/>
      </c>
      <c r="Y144" s="4"/>
      <c r="Z144" s="15"/>
      <c r="AA144" s="14"/>
      <c r="AB144" s="19"/>
      <c r="AC144" s="4"/>
      <c r="AD144" s="15"/>
      <c r="AE144" s="14"/>
      <c r="AF144" s="14"/>
      <c r="AG144" s="14"/>
      <c r="AH144" s="18" t="str">
        <f aca="false">IF(AND(AC144="Sold",AE144&lt;&gt;"",AF144&lt;&gt;""),AE144-AF144,"")</f>
        <v/>
      </c>
      <c r="AI144" s="18" t="str">
        <f aca="false">IF(AND(AC144="Sold",AF144&lt;&gt;"",X144&lt;&gt;""),AF144-N(AG144)-X144,"")</f>
        <v/>
      </c>
      <c r="AJ144" s="20" t="str">
        <f aca="false">IF(AND(AI144&lt;&gt;"",N(AE144)&gt;0),AI144/AE144,"")</f>
        <v/>
      </c>
      <c r="AK144" s="20" t="str">
        <f aca="false">IF(AND(AI144&lt;&gt;"",N(X144)&gt;0),AI144/X144,"")</f>
        <v/>
      </c>
      <c r="AL144" s="21" t="str">
        <f aca="false">IF(AND(AC144="Sold",AD144&lt;&gt;"",Z144&lt;&gt;""),AD144-Z144,"")</f>
        <v/>
      </c>
      <c r="AM144" s="20" t="str">
        <f aca="false">IF(AND(AC144="Sold",N(AA144)&gt;0,AE144&lt;&gt;""),1-AE144/AA144,"")</f>
        <v/>
      </c>
      <c r="AN144" s="21" t="str">
        <f aca="true">IF(AND(AC144&lt;&gt;"Sold",AC144&lt;&gt;"",Z144&lt;&gt;""),TODAY()-Z144,"")</f>
        <v/>
      </c>
      <c r="AO144" s="4"/>
      <c r="AP144" s="4"/>
    </row>
    <row r="145" customFormat="false" ht="1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14"/>
      <c r="O145" s="15"/>
      <c r="P145" s="16"/>
      <c r="Q145" s="4"/>
      <c r="R145" s="17"/>
      <c r="S145" s="18" t="str">
        <f aca="false">IF(OR(P145="",R145=""),"",P145*R145)</f>
        <v/>
      </c>
      <c r="T145" s="14"/>
      <c r="U145" s="14"/>
      <c r="V145" s="14"/>
      <c r="W145" s="14"/>
      <c r="X145" s="18" t="str">
        <f aca="false">IF(S145="","",S145+N(T145)+N(U145)+N(V145)+N(W145))</f>
        <v/>
      </c>
      <c r="Y145" s="4"/>
      <c r="Z145" s="15"/>
      <c r="AA145" s="14"/>
      <c r="AB145" s="19"/>
      <c r="AC145" s="4"/>
      <c r="AD145" s="15"/>
      <c r="AE145" s="14"/>
      <c r="AF145" s="14"/>
      <c r="AG145" s="14"/>
      <c r="AH145" s="18" t="str">
        <f aca="false">IF(AND(AC145="Sold",AE145&lt;&gt;"",AF145&lt;&gt;""),AE145-AF145,"")</f>
        <v/>
      </c>
      <c r="AI145" s="18" t="str">
        <f aca="false">IF(AND(AC145="Sold",AF145&lt;&gt;"",X145&lt;&gt;""),AF145-N(AG145)-X145,"")</f>
        <v/>
      </c>
      <c r="AJ145" s="20" t="str">
        <f aca="false">IF(AND(AI145&lt;&gt;"",N(AE145)&gt;0),AI145/AE145,"")</f>
        <v/>
      </c>
      <c r="AK145" s="20" t="str">
        <f aca="false">IF(AND(AI145&lt;&gt;"",N(X145)&gt;0),AI145/X145,"")</f>
        <v/>
      </c>
      <c r="AL145" s="21" t="str">
        <f aca="false">IF(AND(AC145="Sold",AD145&lt;&gt;"",Z145&lt;&gt;""),AD145-Z145,"")</f>
        <v/>
      </c>
      <c r="AM145" s="20" t="str">
        <f aca="false">IF(AND(AC145="Sold",N(AA145)&gt;0,AE145&lt;&gt;""),1-AE145/AA145,"")</f>
        <v/>
      </c>
      <c r="AN145" s="21" t="str">
        <f aca="true">IF(AND(AC145&lt;&gt;"Sold",AC145&lt;&gt;"",Z145&lt;&gt;""),TODAY()-Z145,"")</f>
        <v/>
      </c>
      <c r="AO145" s="4"/>
      <c r="AP145" s="4"/>
    </row>
    <row r="146" customFormat="false" ht="1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14"/>
      <c r="O146" s="15"/>
      <c r="P146" s="16"/>
      <c r="Q146" s="4"/>
      <c r="R146" s="17"/>
      <c r="S146" s="18" t="str">
        <f aca="false">IF(OR(P146="",R146=""),"",P146*R146)</f>
        <v/>
      </c>
      <c r="T146" s="14"/>
      <c r="U146" s="14"/>
      <c r="V146" s="14"/>
      <c r="W146" s="14"/>
      <c r="X146" s="18" t="str">
        <f aca="false">IF(S146="","",S146+N(T146)+N(U146)+N(V146)+N(W146))</f>
        <v/>
      </c>
      <c r="Y146" s="4"/>
      <c r="Z146" s="15"/>
      <c r="AA146" s="14"/>
      <c r="AB146" s="19"/>
      <c r="AC146" s="4"/>
      <c r="AD146" s="15"/>
      <c r="AE146" s="14"/>
      <c r="AF146" s="14"/>
      <c r="AG146" s="14"/>
      <c r="AH146" s="18" t="str">
        <f aca="false">IF(AND(AC146="Sold",AE146&lt;&gt;"",AF146&lt;&gt;""),AE146-AF146,"")</f>
        <v/>
      </c>
      <c r="AI146" s="18" t="str">
        <f aca="false">IF(AND(AC146="Sold",AF146&lt;&gt;"",X146&lt;&gt;""),AF146-N(AG146)-X146,"")</f>
        <v/>
      </c>
      <c r="AJ146" s="20" t="str">
        <f aca="false">IF(AND(AI146&lt;&gt;"",N(AE146)&gt;0),AI146/AE146,"")</f>
        <v/>
      </c>
      <c r="AK146" s="20" t="str">
        <f aca="false">IF(AND(AI146&lt;&gt;"",N(X146)&gt;0),AI146/X146,"")</f>
        <v/>
      </c>
      <c r="AL146" s="21" t="str">
        <f aca="false">IF(AND(AC146="Sold",AD146&lt;&gt;"",Z146&lt;&gt;""),AD146-Z146,"")</f>
        <v/>
      </c>
      <c r="AM146" s="20" t="str">
        <f aca="false">IF(AND(AC146="Sold",N(AA146)&gt;0,AE146&lt;&gt;""),1-AE146/AA146,"")</f>
        <v/>
      </c>
      <c r="AN146" s="21" t="str">
        <f aca="true">IF(AND(AC146&lt;&gt;"Sold",AC146&lt;&gt;"",Z146&lt;&gt;""),TODAY()-Z146,"")</f>
        <v/>
      </c>
      <c r="AO146" s="4"/>
      <c r="AP146" s="4"/>
    </row>
    <row r="147" customFormat="false" ht="1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14"/>
      <c r="O147" s="15"/>
      <c r="P147" s="16"/>
      <c r="Q147" s="4"/>
      <c r="R147" s="17"/>
      <c r="S147" s="18" t="str">
        <f aca="false">IF(OR(P147="",R147=""),"",P147*R147)</f>
        <v/>
      </c>
      <c r="T147" s="14"/>
      <c r="U147" s="14"/>
      <c r="V147" s="14"/>
      <c r="W147" s="14"/>
      <c r="X147" s="18" t="str">
        <f aca="false">IF(S147="","",S147+N(T147)+N(U147)+N(V147)+N(W147))</f>
        <v/>
      </c>
      <c r="Y147" s="4"/>
      <c r="Z147" s="15"/>
      <c r="AA147" s="14"/>
      <c r="AB147" s="19"/>
      <c r="AC147" s="4"/>
      <c r="AD147" s="15"/>
      <c r="AE147" s="14"/>
      <c r="AF147" s="14"/>
      <c r="AG147" s="14"/>
      <c r="AH147" s="18" t="str">
        <f aca="false">IF(AND(AC147="Sold",AE147&lt;&gt;"",AF147&lt;&gt;""),AE147-AF147,"")</f>
        <v/>
      </c>
      <c r="AI147" s="18" t="str">
        <f aca="false">IF(AND(AC147="Sold",AF147&lt;&gt;"",X147&lt;&gt;""),AF147-N(AG147)-X147,"")</f>
        <v/>
      </c>
      <c r="AJ147" s="20" t="str">
        <f aca="false">IF(AND(AI147&lt;&gt;"",N(AE147)&gt;0),AI147/AE147,"")</f>
        <v/>
      </c>
      <c r="AK147" s="20" t="str">
        <f aca="false">IF(AND(AI147&lt;&gt;"",N(X147)&gt;0),AI147/X147,"")</f>
        <v/>
      </c>
      <c r="AL147" s="21" t="str">
        <f aca="false">IF(AND(AC147="Sold",AD147&lt;&gt;"",Z147&lt;&gt;""),AD147-Z147,"")</f>
        <v/>
      </c>
      <c r="AM147" s="20" t="str">
        <f aca="false">IF(AND(AC147="Sold",N(AA147)&gt;0,AE147&lt;&gt;""),1-AE147/AA147,"")</f>
        <v/>
      </c>
      <c r="AN147" s="21" t="str">
        <f aca="true">IF(AND(AC147&lt;&gt;"Sold",AC147&lt;&gt;"",Z147&lt;&gt;""),TODAY()-Z147,"")</f>
        <v/>
      </c>
      <c r="AO147" s="4"/>
      <c r="AP147" s="4"/>
    </row>
    <row r="148" customFormat="false" ht="1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14"/>
      <c r="O148" s="15"/>
      <c r="P148" s="16"/>
      <c r="Q148" s="4"/>
      <c r="R148" s="17"/>
      <c r="S148" s="18" t="str">
        <f aca="false">IF(OR(P148="",R148=""),"",P148*R148)</f>
        <v/>
      </c>
      <c r="T148" s="14"/>
      <c r="U148" s="14"/>
      <c r="V148" s="14"/>
      <c r="W148" s="14"/>
      <c r="X148" s="18" t="str">
        <f aca="false">IF(S148="","",S148+N(T148)+N(U148)+N(V148)+N(W148))</f>
        <v/>
      </c>
      <c r="Y148" s="4"/>
      <c r="Z148" s="15"/>
      <c r="AA148" s="14"/>
      <c r="AB148" s="19"/>
      <c r="AC148" s="4"/>
      <c r="AD148" s="15"/>
      <c r="AE148" s="14"/>
      <c r="AF148" s="14"/>
      <c r="AG148" s="14"/>
      <c r="AH148" s="18" t="str">
        <f aca="false">IF(AND(AC148="Sold",AE148&lt;&gt;"",AF148&lt;&gt;""),AE148-AF148,"")</f>
        <v/>
      </c>
      <c r="AI148" s="18" t="str">
        <f aca="false">IF(AND(AC148="Sold",AF148&lt;&gt;"",X148&lt;&gt;""),AF148-N(AG148)-X148,"")</f>
        <v/>
      </c>
      <c r="AJ148" s="20" t="str">
        <f aca="false">IF(AND(AI148&lt;&gt;"",N(AE148)&gt;0),AI148/AE148,"")</f>
        <v/>
      </c>
      <c r="AK148" s="20" t="str">
        <f aca="false">IF(AND(AI148&lt;&gt;"",N(X148)&gt;0),AI148/X148,"")</f>
        <v/>
      </c>
      <c r="AL148" s="21" t="str">
        <f aca="false">IF(AND(AC148="Sold",AD148&lt;&gt;"",Z148&lt;&gt;""),AD148-Z148,"")</f>
        <v/>
      </c>
      <c r="AM148" s="20" t="str">
        <f aca="false">IF(AND(AC148="Sold",N(AA148)&gt;0,AE148&lt;&gt;""),1-AE148/AA148,"")</f>
        <v/>
      </c>
      <c r="AN148" s="21" t="str">
        <f aca="true">IF(AND(AC148&lt;&gt;"Sold",AC148&lt;&gt;"",Z148&lt;&gt;""),TODAY()-Z148,"")</f>
        <v/>
      </c>
      <c r="AO148" s="4"/>
      <c r="AP148" s="4"/>
    </row>
    <row r="149" customFormat="false" ht="1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14"/>
      <c r="O149" s="15"/>
      <c r="P149" s="16"/>
      <c r="Q149" s="4"/>
      <c r="R149" s="17"/>
      <c r="S149" s="18" t="str">
        <f aca="false">IF(OR(P149="",R149=""),"",P149*R149)</f>
        <v/>
      </c>
      <c r="T149" s="14"/>
      <c r="U149" s="14"/>
      <c r="V149" s="14"/>
      <c r="W149" s="14"/>
      <c r="X149" s="18" t="str">
        <f aca="false">IF(S149="","",S149+N(T149)+N(U149)+N(V149)+N(W149))</f>
        <v/>
      </c>
      <c r="Y149" s="4"/>
      <c r="Z149" s="15"/>
      <c r="AA149" s="14"/>
      <c r="AB149" s="19"/>
      <c r="AC149" s="4"/>
      <c r="AD149" s="15"/>
      <c r="AE149" s="14"/>
      <c r="AF149" s="14"/>
      <c r="AG149" s="14"/>
      <c r="AH149" s="18" t="str">
        <f aca="false">IF(AND(AC149="Sold",AE149&lt;&gt;"",AF149&lt;&gt;""),AE149-AF149,"")</f>
        <v/>
      </c>
      <c r="AI149" s="18" t="str">
        <f aca="false">IF(AND(AC149="Sold",AF149&lt;&gt;"",X149&lt;&gt;""),AF149-N(AG149)-X149,"")</f>
        <v/>
      </c>
      <c r="AJ149" s="20" t="str">
        <f aca="false">IF(AND(AI149&lt;&gt;"",N(AE149)&gt;0),AI149/AE149,"")</f>
        <v/>
      </c>
      <c r="AK149" s="20" t="str">
        <f aca="false">IF(AND(AI149&lt;&gt;"",N(X149)&gt;0),AI149/X149,"")</f>
        <v/>
      </c>
      <c r="AL149" s="21" t="str">
        <f aca="false">IF(AND(AC149="Sold",AD149&lt;&gt;"",Z149&lt;&gt;""),AD149-Z149,"")</f>
        <v/>
      </c>
      <c r="AM149" s="20" t="str">
        <f aca="false">IF(AND(AC149="Sold",N(AA149)&gt;0,AE149&lt;&gt;""),1-AE149/AA149,"")</f>
        <v/>
      </c>
      <c r="AN149" s="21" t="str">
        <f aca="true">IF(AND(AC149&lt;&gt;"Sold",AC149&lt;&gt;"",Z149&lt;&gt;""),TODAY()-Z149,"")</f>
        <v/>
      </c>
      <c r="AO149" s="4"/>
      <c r="AP149" s="4"/>
    </row>
    <row r="150" customFormat="false" ht="1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14"/>
      <c r="O150" s="15"/>
      <c r="P150" s="16"/>
      <c r="Q150" s="4"/>
      <c r="R150" s="17"/>
      <c r="S150" s="18" t="str">
        <f aca="false">IF(OR(P150="",R150=""),"",P150*R150)</f>
        <v/>
      </c>
      <c r="T150" s="14"/>
      <c r="U150" s="14"/>
      <c r="V150" s="14"/>
      <c r="W150" s="14"/>
      <c r="X150" s="18" t="str">
        <f aca="false">IF(S150="","",S150+N(T150)+N(U150)+N(V150)+N(W150))</f>
        <v/>
      </c>
      <c r="Y150" s="4"/>
      <c r="Z150" s="15"/>
      <c r="AA150" s="14"/>
      <c r="AB150" s="19"/>
      <c r="AC150" s="4"/>
      <c r="AD150" s="15"/>
      <c r="AE150" s="14"/>
      <c r="AF150" s="14"/>
      <c r="AG150" s="14"/>
      <c r="AH150" s="18" t="str">
        <f aca="false">IF(AND(AC150="Sold",AE150&lt;&gt;"",AF150&lt;&gt;""),AE150-AF150,"")</f>
        <v/>
      </c>
      <c r="AI150" s="18" t="str">
        <f aca="false">IF(AND(AC150="Sold",AF150&lt;&gt;"",X150&lt;&gt;""),AF150-N(AG150)-X150,"")</f>
        <v/>
      </c>
      <c r="AJ150" s="20" t="str">
        <f aca="false">IF(AND(AI150&lt;&gt;"",N(AE150)&gt;0),AI150/AE150,"")</f>
        <v/>
      </c>
      <c r="AK150" s="20" t="str">
        <f aca="false">IF(AND(AI150&lt;&gt;"",N(X150)&gt;0),AI150/X150,"")</f>
        <v/>
      </c>
      <c r="AL150" s="21" t="str">
        <f aca="false">IF(AND(AC150="Sold",AD150&lt;&gt;"",Z150&lt;&gt;""),AD150-Z150,"")</f>
        <v/>
      </c>
      <c r="AM150" s="20" t="str">
        <f aca="false">IF(AND(AC150="Sold",N(AA150)&gt;0,AE150&lt;&gt;""),1-AE150/AA150,"")</f>
        <v/>
      </c>
      <c r="AN150" s="21" t="str">
        <f aca="true">IF(AND(AC150&lt;&gt;"Sold",AC150&lt;&gt;"",Z150&lt;&gt;""),TODAY()-Z150,"")</f>
        <v/>
      </c>
      <c r="AO150" s="4"/>
      <c r="AP150" s="4"/>
    </row>
    <row r="151" customFormat="false" ht="1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14"/>
      <c r="O151" s="15"/>
      <c r="P151" s="16"/>
      <c r="Q151" s="4"/>
      <c r="R151" s="17"/>
      <c r="S151" s="18" t="str">
        <f aca="false">IF(OR(P151="",R151=""),"",P151*R151)</f>
        <v/>
      </c>
      <c r="T151" s="14"/>
      <c r="U151" s="14"/>
      <c r="V151" s="14"/>
      <c r="W151" s="14"/>
      <c r="X151" s="18" t="str">
        <f aca="false">IF(S151="","",S151+N(T151)+N(U151)+N(V151)+N(W151))</f>
        <v/>
      </c>
      <c r="Y151" s="4"/>
      <c r="Z151" s="15"/>
      <c r="AA151" s="14"/>
      <c r="AB151" s="19"/>
      <c r="AC151" s="4"/>
      <c r="AD151" s="15"/>
      <c r="AE151" s="14"/>
      <c r="AF151" s="14"/>
      <c r="AG151" s="14"/>
      <c r="AH151" s="18" t="str">
        <f aca="false">IF(AND(AC151="Sold",AE151&lt;&gt;"",AF151&lt;&gt;""),AE151-AF151,"")</f>
        <v/>
      </c>
      <c r="AI151" s="18" t="str">
        <f aca="false">IF(AND(AC151="Sold",AF151&lt;&gt;"",X151&lt;&gt;""),AF151-N(AG151)-X151,"")</f>
        <v/>
      </c>
      <c r="AJ151" s="20" t="str">
        <f aca="false">IF(AND(AI151&lt;&gt;"",N(AE151)&gt;0),AI151/AE151,"")</f>
        <v/>
      </c>
      <c r="AK151" s="20" t="str">
        <f aca="false">IF(AND(AI151&lt;&gt;"",N(X151)&gt;0),AI151/X151,"")</f>
        <v/>
      </c>
      <c r="AL151" s="21" t="str">
        <f aca="false">IF(AND(AC151="Sold",AD151&lt;&gt;"",Z151&lt;&gt;""),AD151-Z151,"")</f>
        <v/>
      </c>
      <c r="AM151" s="20" t="str">
        <f aca="false">IF(AND(AC151="Sold",N(AA151)&gt;0,AE151&lt;&gt;""),1-AE151/AA151,"")</f>
        <v/>
      </c>
      <c r="AN151" s="21" t="str">
        <f aca="true">IF(AND(AC151&lt;&gt;"Sold",AC151&lt;&gt;"",Z151&lt;&gt;""),TODAY()-Z151,"")</f>
        <v/>
      </c>
      <c r="AO151" s="4"/>
      <c r="AP151" s="4"/>
    </row>
    <row r="152" customFormat="false" ht="1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14"/>
      <c r="O152" s="15"/>
      <c r="P152" s="16"/>
      <c r="Q152" s="4"/>
      <c r="R152" s="17"/>
      <c r="S152" s="18" t="str">
        <f aca="false">IF(OR(P152="",R152=""),"",P152*R152)</f>
        <v/>
      </c>
      <c r="T152" s="14"/>
      <c r="U152" s="14"/>
      <c r="V152" s="14"/>
      <c r="W152" s="14"/>
      <c r="X152" s="18" t="str">
        <f aca="false">IF(S152="","",S152+N(T152)+N(U152)+N(V152)+N(W152))</f>
        <v/>
      </c>
      <c r="Y152" s="4"/>
      <c r="Z152" s="15"/>
      <c r="AA152" s="14"/>
      <c r="AB152" s="19"/>
      <c r="AC152" s="4"/>
      <c r="AD152" s="15"/>
      <c r="AE152" s="14"/>
      <c r="AF152" s="14"/>
      <c r="AG152" s="14"/>
      <c r="AH152" s="18" t="str">
        <f aca="false">IF(AND(AC152="Sold",AE152&lt;&gt;"",AF152&lt;&gt;""),AE152-AF152,"")</f>
        <v/>
      </c>
      <c r="AI152" s="18" t="str">
        <f aca="false">IF(AND(AC152="Sold",AF152&lt;&gt;"",X152&lt;&gt;""),AF152-N(AG152)-X152,"")</f>
        <v/>
      </c>
      <c r="AJ152" s="20" t="str">
        <f aca="false">IF(AND(AI152&lt;&gt;"",N(AE152)&gt;0),AI152/AE152,"")</f>
        <v/>
      </c>
      <c r="AK152" s="20" t="str">
        <f aca="false">IF(AND(AI152&lt;&gt;"",N(X152)&gt;0),AI152/X152,"")</f>
        <v/>
      </c>
      <c r="AL152" s="21" t="str">
        <f aca="false">IF(AND(AC152="Sold",AD152&lt;&gt;"",Z152&lt;&gt;""),AD152-Z152,"")</f>
        <v/>
      </c>
      <c r="AM152" s="20" t="str">
        <f aca="false">IF(AND(AC152="Sold",N(AA152)&gt;0,AE152&lt;&gt;""),1-AE152/AA152,"")</f>
        <v/>
      </c>
      <c r="AN152" s="21" t="str">
        <f aca="true">IF(AND(AC152&lt;&gt;"Sold",AC152&lt;&gt;"",Z152&lt;&gt;""),TODAY()-Z152,"")</f>
        <v/>
      </c>
      <c r="AO152" s="4"/>
      <c r="AP152" s="4"/>
    </row>
    <row r="153" customFormat="false" ht="1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14"/>
      <c r="O153" s="15"/>
      <c r="P153" s="16"/>
      <c r="Q153" s="4"/>
      <c r="R153" s="17"/>
      <c r="S153" s="18" t="str">
        <f aca="false">IF(OR(P153="",R153=""),"",P153*R153)</f>
        <v/>
      </c>
      <c r="T153" s="14"/>
      <c r="U153" s="14"/>
      <c r="V153" s="14"/>
      <c r="W153" s="14"/>
      <c r="X153" s="18" t="str">
        <f aca="false">IF(S153="","",S153+N(T153)+N(U153)+N(V153)+N(W153))</f>
        <v/>
      </c>
      <c r="Y153" s="4"/>
      <c r="Z153" s="15"/>
      <c r="AA153" s="14"/>
      <c r="AB153" s="19"/>
      <c r="AC153" s="4"/>
      <c r="AD153" s="15"/>
      <c r="AE153" s="14"/>
      <c r="AF153" s="14"/>
      <c r="AG153" s="14"/>
      <c r="AH153" s="18" t="str">
        <f aca="false">IF(AND(AC153="Sold",AE153&lt;&gt;"",AF153&lt;&gt;""),AE153-AF153,"")</f>
        <v/>
      </c>
      <c r="AI153" s="18" t="str">
        <f aca="false">IF(AND(AC153="Sold",AF153&lt;&gt;"",X153&lt;&gt;""),AF153-N(AG153)-X153,"")</f>
        <v/>
      </c>
      <c r="AJ153" s="20" t="str">
        <f aca="false">IF(AND(AI153&lt;&gt;"",N(AE153)&gt;0),AI153/AE153,"")</f>
        <v/>
      </c>
      <c r="AK153" s="20" t="str">
        <f aca="false">IF(AND(AI153&lt;&gt;"",N(X153)&gt;0),AI153/X153,"")</f>
        <v/>
      </c>
      <c r="AL153" s="21" t="str">
        <f aca="false">IF(AND(AC153="Sold",AD153&lt;&gt;"",Z153&lt;&gt;""),AD153-Z153,"")</f>
        <v/>
      </c>
      <c r="AM153" s="20" t="str">
        <f aca="false">IF(AND(AC153="Sold",N(AA153)&gt;0,AE153&lt;&gt;""),1-AE153/AA153,"")</f>
        <v/>
      </c>
      <c r="AN153" s="21" t="str">
        <f aca="true">IF(AND(AC153&lt;&gt;"Sold",AC153&lt;&gt;"",Z153&lt;&gt;""),TODAY()-Z153,"")</f>
        <v/>
      </c>
      <c r="AO153" s="4"/>
      <c r="AP153" s="4"/>
    </row>
    <row r="154" customFormat="false" ht="1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14"/>
      <c r="O154" s="15"/>
      <c r="P154" s="16"/>
      <c r="Q154" s="4"/>
      <c r="R154" s="17"/>
      <c r="S154" s="18" t="str">
        <f aca="false">IF(OR(P154="",R154=""),"",P154*R154)</f>
        <v/>
      </c>
      <c r="T154" s="14"/>
      <c r="U154" s="14"/>
      <c r="V154" s="14"/>
      <c r="W154" s="14"/>
      <c r="X154" s="18" t="str">
        <f aca="false">IF(S154="","",S154+N(T154)+N(U154)+N(V154)+N(W154))</f>
        <v/>
      </c>
      <c r="Y154" s="4"/>
      <c r="Z154" s="15"/>
      <c r="AA154" s="14"/>
      <c r="AB154" s="19"/>
      <c r="AC154" s="4"/>
      <c r="AD154" s="15"/>
      <c r="AE154" s="14"/>
      <c r="AF154" s="14"/>
      <c r="AG154" s="14"/>
      <c r="AH154" s="18" t="str">
        <f aca="false">IF(AND(AC154="Sold",AE154&lt;&gt;"",AF154&lt;&gt;""),AE154-AF154,"")</f>
        <v/>
      </c>
      <c r="AI154" s="18" t="str">
        <f aca="false">IF(AND(AC154="Sold",AF154&lt;&gt;"",X154&lt;&gt;""),AF154-N(AG154)-X154,"")</f>
        <v/>
      </c>
      <c r="AJ154" s="20" t="str">
        <f aca="false">IF(AND(AI154&lt;&gt;"",N(AE154)&gt;0),AI154/AE154,"")</f>
        <v/>
      </c>
      <c r="AK154" s="20" t="str">
        <f aca="false">IF(AND(AI154&lt;&gt;"",N(X154)&gt;0),AI154/X154,"")</f>
        <v/>
      </c>
      <c r="AL154" s="21" t="str">
        <f aca="false">IF(AND(AC154="Sold",AD154&lt;&gt;"",Z154&lt;&gt;""),AD154-Z154,"")</f>
        <v/>
      </c>
      <c r="AM154" s="20" t="str">
        <f aca="false">IF(AND(AC154="Sold",N(AA154)&gt;0,AE154&lt;&gt;""),1-AE154/AA154,"")</f>
        <v/>
      </c>
      <c r="AN154" s="21" t="str">
        <f aca="true">IF(AND(AC154&lt;&gt;"Sold",AC154&lt;&gt;"",Z154&lt;&gt;""),TODAY()-Z154,"")</f>
        <v/>
      </c>
      <c r="AO154" s="4"/>
      <c r="AP154" s="4"/>
    </row>
    <row r="155" customFormat="false" ht="1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14"/>
      <c r="O155" s="15"/>
      <c r="P155" s="16"/>
      <c r="Q155" s="4"/>
      <c r="R155" s="17"/>
      <c r="S155" s="18" t="str">
        <f aca="false">IF(OR(P155="",R155=""),"",P155*R155)</f>
        <v/>
      </c>
      <c r="T155" s="14"/>
      <c r="U155" s="14"/>
      <c r="V155" s="14"/>
      <c r="W155" s="14"/>
      <c r="X155" s="18" t="str">
        <f aca="false">IF(S155="","",S155+N(T155)+N(U155)+N(V155)+N(W155))</f>
        <v/>
      </c>
      <c r="Y155" s="4"/>
      <c r="Z155" s="15"/>
      <c r="AA155" s="14"/>
      <c r="AB155" s="19"/>
      <c r="AC155" s="4"/>
      <c r="AD155" s="15"/>
      <c r="AE155" s="14"/>
      <c r="AF155" s="14"/>
      <c r="AG155" s="14"/>
      <c r="AH155" s="18" t="str">
        <f aca="false">IF(AND(AC155="Sold",AE155&lt;&gt;"",AF155&lt;&gt;""),AE155-AF155,"")</f>
        <v/>
      </c>
      <c r="AI155" s="18" t="str">
        <f aca="false">IF(AND(AC155="Sold",AF155&lt;&gt;"",X155&lt;&gt;""),AF155-N(AG155)-X155,"")</f>
        <v/>
      </c>
      <c r="AJ155" s="20" t="str">
        <f aca="false">IF(AND(AI155&lt;&gt;"",N(AE155)&gt;0),AI155/AE155,"")</f>
        <v/>
      </c>
      <c r="AK155" s="20" t="str">
        <f aca="false">IF(AND(AI155&lt;&gt;"",N(X155)&gt;0),AI155/X155,"")</f>
        <v/>
      </c>
      <c r="AL155" s="21" t="str">
        <f aca="false">IF(AND(AC155="Sold",AD155&lt;&gt;"",Z155&lt;&gt;""),AD155-Z155,"")</f>
        <v/>
      </c>
      <c r="AM155" s="20" t="str">
        <f aca="false">IF(AND(AC155="Sold",N(AA155)&gt;0,AE155&lt;&gt;""),1-AE155/AA155,"")</f>
        <v/>
      </c>
      <c r="AN155" s="21" t="str">
        <f aca="true">IF(AND(AC155&lt;&gt;"Sold",AC155&lt;&gt;"",Z155&lt;&gt;""),TODAY()-Z155,"")</f>
        <v/>
      </c>
      <c r="AO155" s="4"/>
      <c r="AP155" s="4"/>
    </row>
    <row r="156" customFormat="false" ht="1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14"/>
      <c r="O156" s="15"/>
      <c r="P156" s="16"/>
      <c r="Q156" s="4"/>
      <c r="R156" s="17"/>
      <c r="S156" s="18" t="str">
        <f aca="false">IF(OR(P156="",R156=""),"",P156*R156)</f>
        <v/>
      </c>
      <c r="T156" s="14"/>
      <c r="U156" s="14"/>
      <c r="V156" s="14"/>
      <c r="W156" s="14"/>
      <c r="X156" s="18" t="str">
        <f aca="false">IF(S156="","",S156+N(T156)+N(U156)+N(V156)+N(W156))</f>
        <v/>
      </c>
      <c r="Y156" s="4"/>
      <c r="Z156" s="15"/>
      <c r="AA156" s="14"/>
      <c r="AB156" s="19"/>
      <c r="AC156" s="4"/>
      <c r="AD156" s="15"/>
      <c r="AE156" s="14"/>
      <c r="AF156" s="14"/>
      <c r="AG156" s="14"/>
      <c r="AH156" s="18" t="str">
        <f aca="false">IF(AND(AC156="Sold",AE156&lt;&gt;"",AF156&lt;&gt;""),AE156-AF156,"")</f>
        <v/>
      </c>
      <c r="AI156" s="18" t="str">
        <f aca="false">IF(AND(AC156="Sold",AF156&lt;&gt;"",X156&lt;&gt;""),AF156-N(AG156)-X156,"")</f>
        <v/>
      </c>
      <c r="AJ156" s="20" t="str">
        <f aca="false">IF(AND(AI156&lt;&gt;"",N(AE156)&gt;0),AI156/AE156,"")</f>
        <v/>
      </c>
      <c r="AK156" s="20" t="str">
        <f aca="false">IF(AND(AI156&lt;&gt;"",N(X156)&gt;0),AI156/X156,"")</f>
        <v/>
      </c>
      <c r="AL156" s="21" t="str">
        <f aca="false">IF(AND(AC156="Sold",AD156&lt;&gt;"",Z156&lt;&gt;""),AD156-Z156,"")</f>
        <v/>
      </c>
      <c r="AM156" s="20" t="str">
        <f aca="false">IF(AND(AC156="Sold",N(AA156)&gt;0,AE156&lt;&gt;""),1-AE156/AA156,"")</f>
        <v/>
      </c>
      <c r="AN156" s="21" t="str">
        <f aca="true">IF(AND(AC156&lt;&gt;"Sold",AC156&lt;&gt;"",Z156&lt;&gt;""),TODAY()-Z156,"")</f>
        <v/>
      </c>
      <c r="AO156" s="4"/>
      <c r="AP156" s="4"/>
    </row>
    <row r="157" customFormat="false" ht="1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14"/>
      <c r="O157" s="15"/>
      <c r="P157" s="16"/>
      <c r="Q157" s="4"/>
      <c r="R157" s="17"/>
      <c r="S157" s="18" t="str">
        <f aca="false">IF(OR(P157="",R157=""),"",P157*R157)</f>
        <v/>
      </c>
      <c r="T157" s="14"/>
      <c r="U157" s="14"/>
      <c r="V157" s="14"/>
      <c r="W157" s="14"/>
      <c r="X157" s="18" t="str">
        <f aca="false">IF(S157="","",S157+N(T157)+N(U157)+N(V157)+N(W157))</f>
        <v/>
      </c>
      <c r="Y157" s="4"/>
      <c r="Z157" s="15"/>
      <c r="AA157" s="14"/>
      <c r="AB157" s="19"/>
      <c r="AC157" s="4"/>
      <c r="AD157" s="15"/>
      <c r="AE157" s="14"/>
      <c r="AF157" s="14"/>
      <c r="AG157" s="14"/>
      <c r="AH157" s="18" t="str">
        <f aca="false">IF(AND(AC157="Sold",AE157&lt;&gt;"",AF157&lt;&gt;""),AE157-AF157,"")</f>
        <v/>
      </c>
      <c r="AI157" s="18" t="str">
        <f aca="false">IF(AND(AC157="Sold",AF157&lt;&gt;"",X157&lt;&gt;""),AF157-N(AG157)-X157,"")</f>
        <v/>
      </c>
      <c r="AJ157" s="20" t="str">
        <f aca="false">IF(AND(AI157&lt;&gt;"",N(AE157)&gt;0),AI157/AE157,"")</f>
        <v/>
      </c>
      <c r="AK157" s="20" t="str">
        <f aca="false">IF(AND(AI157&lt;&gt;"",N(X157)&gt;0),AI157/X157,"")</f>
        <v/>
      </c>
      <c r="AL157" s="21" t="str">
        <f aca="false">IF(AND(AC157="Sold",AD157&lt;&gt;"",Z157&lt;&gt;""),AD157-Z157,"")</f>
        <v/>
      </c>
      <c r="AM157" s="20" t="str">
        <f aca="false">IF(AND(AC157="Sold",N(AA157)&gt;0,AE157&lt;&gt;""),1-AE157/AA157,"")</f>
        <v/>
      </c>
      <c r="AN157" s="21" t="str">
        <f aca="true">IF(AND(AC157&lt;&gt;"Sold",AC157&lt;&gt;"",Z157&lt;&gt;""),TODAY()-Z157,"")</f>
        <v/>
      </c>
      <c r="AO157" s="4"/>
      <c r="AP157" s="4"/>
    </row>
    <row r="158" customFormat="false" ht="1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14"/>
      <c r="O158" s="15"/>
      <c r="P158" s="16"/>
      <c r="Q158" s="4"/>
      <c r="R158" s="17"/>
      <c r="S158" s="18" t="str">
        <f aca="false">IF(OR(P158="",R158=""),"",P158*R158)</f>
        <v/>
      </c>
      <c r="T158" s="14"/>
      <c r="U158" s="14"/>
      <c r="V158" s="14"/>
      <c r="W158" s="14"/>
      <c r="X158" s="18" t="str">
        <f aca="false">IF(S158="","",S158+N(T158)+N(U158)+N(V158)+N(W158))</f>
        <v/>
      </c>
      <c r="Y158" s="4"/>
      <c r="Z158" s="15"/>
      <c r="AA158" s="14"/>
      <c r="AB158" s="19"/>
      <c r="AC158" s="4"/>
      <c r="AD158" s="15"/>
      <c r="AE158" s="14"/>
      <c r="AF158" s="14"/>
      <c r="AG158" s="14"/>
      <c r="AH158" s="18" t="str">
        <f aca="false">IF(AND(AC158="Sold",AE158&lt;&gt;"",AF158&lt;&gt;""),AE158-AF158,"")</f>
        <v/>
      </c>
      <c r="AI158" s="18" t="str">
        <f aca="false">IF(AND(AC158="Sold",AF158&lt;&gt;"",X158&lt;&gt;""),AF158-N(AG158)-X158,"")</f>
        <v/>
      </c>
      <c r="AJ158" s="20" t="str">
        <f aca="false">IF(AND(AI158&lt;&gt;"",N(AE158)&gt;0),AI158/AE158,"")</f>
        <v/>
      </c>
      <c r="AK158" s="20" t="str">
        <f aca="false">IF(AND(AI158&lt;&gt;"",N(X158)&gt;0),AI158/X158,"")</f>
        <v/>
      </c>
      <c r="AL158" s="21" t="str">
        <f aca="false">IF(AND(AC158="Sold",AD158&lt;&gt;"",Z158&lt;&gt;""),AD158-Z158,"")</f>
        <v/>
      </c>
      <c r="AM158" s="20" t="str">
        <f aca="false">IF(AND(AC158="Sold",N(AA158)&gt;0,AE158&lt;&gt;""),1-AE158/AA158,"")</f>
        <v/>
      </c>
      <c r="AN158" s="21" t="str">
        <f aca="true">IF(AND(AC158&lt;&gt;"Sold",AC158&lt;&gt;"",Z158&lt;&gt;""),TODAY()-Z158,"")</f>
        <v/>
      </c>
      <c r="AO158" s="4"/>
      <c r="AP158" s="4"/>
    </row>
    <row r="159" customFormat="false" ht="1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14"/>
      <c r="O159" s="15"/>
      <c r="P159" s="16"/>
      <c r="Q159" s="4"/>
      <c r="R159" s="17"/>
      <c r="S159" s="18" t="str">
        <f aca="false">IF(OR(P159="",R159=""),"",P159*R159)</f>
        <v/>
      </c>
      <c r="T159" s="14"/>
      <c r="U159" s="14"/>
      <c r="V159" s="14"/>
      <c r="W159" s="14"/>
      <c r="X159" s="18" t="str">
        <f aca="false">IF(S159="","",S159+N(T159)+N(U159)+N(V159)+N(W159))</f>
        <v/>
      </c>
      <c r="Y159" s="4"/>
      <c r="Z159" s="15"/>
      <c r="AA159" s="14"/>
      <c r="AB159" s="19"/>
      <c r="AC159" s="4"/>
      <c r="AD159" s="15"/>
      <c r="AE159" s="14"/>
      <c r="AF159" s="14"/>
      <c r="AG159" s="14"/>
      <c r="AH159" s="18" t="str">
        <f aca="false">IF(AND(AC159="Sold",AE159&lt;&gt;"",AF159&lt;&gt;""),AE159-AF159,"")</f>
        <v/>
      </c>
      <c r="AI159" s="18" t="str">
        <f aca="false">IF(AND(AC159="Sold",AF159&lt;&gt;"",X159&lt;&gt;""),AF159-N(AG159)-X159,"")</f>
        <v/>
      </c>
      <c r="AJ159" s="20" t="str">
        <f aca="false">IF(AND(AI159&lt;&gt;"",N(AE159)&gt;0),AI159/AE159,"")</f>
        <v/>
      </c>
      <c r="AK159" s="20" t="str">
        <f aca="false">IF(AND(AI159&lt;&gt;"",N(X159)&gt;0),AI159/X159,"")</f>
        <v/>
      </c>
      <c r="AL159" s="21" t="str">
        <f aca="false">IF(AND(AC159="Sold",AD159&lt;&gt;"",Z159&lt;&gt;""),AD159-Z159,"")</f>
        <v/>
      </c>
      <c r="AM159" s="20" t="str">
        <f aca="false">IF(AND(AC159="Sold",N(AA159)&gt;0,AE159&lt;&gt;""),1-AE159/AA159,"")</f>
        <v/>
      </c>
      <c r="AN159" s="21" t="str">
        <f aca="true">IF(AND(AC159&lt;&gt;"Sold",AC159&lt;&gt;"",Z159&lt;&gt;""),TODAY()-Z159,"")</f>
        <v/>
      </c>
      <c r="AO159" s="4"/>
      <c r="AP159" s="4"/>
    </row>
    <row r="160" customFormat="false" ht="1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14"/>
      <c r="O160" s="15"/>
      <c r="P160" s="16"/>
      <c r="Q160" s="4"/>
      <c r="R160" s="17"/>
      <c r="S160" s="18" t="str">
        <f aca="false">IF(OR(P160="",R160=""),"",P160*R160)</f>
        <v/>
      </c>
      <c r="T160" s="14"/>
      <c r="U160" s="14"/>
      <c r="V160" s="14"/>
      <c r="W160" s="14"/>
      <c r="X160" s="18" t="str">
        <f aca="false">IF(S160="","",S160+N(T160)+N(U160)+N(V160)+N(W160))</f>
        <v/>
      </c>
      <c r="Y160" s="4"/>
      <c r="Z160" s="15"/>
      <c r="AA160" s="14"/>
      <c r="AB160" s="19"/>
      <c r="AC160" s="4"/>
      <c r="AD160" s="15"/>
      <c r="AE160" s="14"/>
      <c r="AF160" s="14"/>
      <c r="AG160" s="14"/>
      <c r="AH160" s="18" t="str">
        <f aca="false">IF(AND(AC160="Sold",AE160&lt;&gt;"",AF160&lt;&gt;""),AE160-AF160,"")</f>
        <v/>
      </c>
      <c r="AI160" s="18" t="str">
        <f aca="false">IF(AND(AC160="Sold",AF160&lt;&gt;"",X160&lt;&gt;""),AF160-N(AG160)-X160,"")</f>
        <v/>
      </c>
      <c r="AJ160" s="20" t="str">
        <f aca="false">IF(AND(AI160&lt;&gt;"",N(AE160)&gt;0),AI160/AE160,"")</f>
        <v/>
      </c>
      <c r="AK160" s="20" t="str">
        <f aca="false">IF(AND(AI160&lt;&gt;"",N(X160)&gt;0),AI160/X160,"")</f>
        <v/>
      </c>
      <c r="AL160" s="21" t="str">
        <f aca="false">IF(AND(AC160="Sold",AD160&lt;&gt;"",Z160&lt;&gt;""),AD160-Z160,"")</f>
        <v/>
      </c>
      <c r="AM160" s="20" t="str">
        <f aca="false">IF(AND(AC160="Sold",N(AA160)&gt;0,AE160&lt;&gt;""),1-AE160/AA160,"")</f>
        <v/>
      </c>
      <c r="AN160" s="21" t="str">
        <f aca="true">IF(AND(AC160&lt;&gt;"Sold",AC160&lt;&gt;"",Z160&lt;&gt;""),TODAY()-Z160,"")</f>
        <v/>
      </c>
      <c r="AO160" s="4"/>
      <c r="AP160" s="4"/>
    </row>
    <row r="161" customFormat="false" ht="1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14"/>
      <c r="O161" s="15"/>
      <c r="P161" s="16"/>
      <c r="Q161" s="4"/>
      <c r="R161" s="17"/>
      <c r="S161" s="18" t="str">
        <f aca="false">IF(OR(P161="",R161=""),"",P161*R161)</f>
        <v/>
      </c>
      <c r="T161" s="14"/>
      <c r="U161" s="14"/>
      <c r="V161" s="14"/>
      <c r="W161" s="14"/>
      <c r="X161" s="18" t="str">
        <f aca="false">IF(S161="","",S161+N(T161)+N(U161)+N(V161)+N(W161))</f>
        <v/>
      </c>
      <c r="Y161" s="4"/>
      <c r="Z161" s="15"/>
      <c r="AA161" s="14"/>
      <c r="AB161" s="19"/>
      <c r="AC161" s="4"/>
      <c r="AD161" s="15"/>
      <c r="AE161" s="14"/>
      <c r="AF161" s="14"/>
      <c r="AG161" s="14"/>
      <c r="AH161" s="18" t="str">
        <f aca="false">IF(AND(AC161="Sold",AE161&lt;&gt;"",AF161&lt;&gt;""),AE161-AF161,"")</f>
        <v/>
      </c>
      <c r="AI161" s="18" t="str">
        <f aca="false">IF(AND(AC161="Sold",AF161&lt;&gt;"",X161&lt;&gt;""),AF161-N(AG161)-X161,"")</f>
        <v/>
      </c>
      <c r="AJ161" s="20" t="str">
        <f aca="false">IF(AND(AI161&lt;&gt;"",N(AE161)&gt;0),AI161/AE161,"")</f>
        <v/>
      </c>
      <c r="AK161" s="20" t="str">
        <f aca="false">IF(AND(AI161&lt;&gt;"",N(X161)&gt;0),AI161/X161,"")</f>
        <v/>
      </c>
      <c r="AL161" s="21" t="str">
        <f aca="false">IF(AND(AC161="Sold",AD161&lt;&gt;"",Z161&lt;&gt;""),AD161-Z161,"")</f>
        <v/>
      </c>
      <c r="AM161" s="20" t="str">
        <f aca="false">IF(AND(AC161="Sold",N(AA161)&gt;0,AE161&lt;&gt;""),1-AE161/AA161,"")</f>
        <v/>
      </c>
      <c r="AN161" s="21" t="str">
        <f aca="true">IF(AND(AC161&lt;&gt;"Sold",AC161&lt;&gt;"",Z161&lt;&gt;""),TODAY()-Z161,"")</f>
        <v/>
      </c>
      <c r="AO161" s="4"/>
      <c r="AP161" s="4"/>
    </row>
    <row r="162" customFormat="false" ht="1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14"/>
      <c r="O162" s="15"/>
      <c r="P162" s="16"/>
      <c r="Q162" s="4"/>
      <c r="R162" s="17"/>
      <c r="S162" s="18" t="str">
        <f aca="false">IF(OR(P162="",R162=""),"",P162*R162)</f>
        <v/>
      </c>
      <c r="T162" s="14"/>
      <c r="U162" s="14"/>
      <c r="V162" s="14"/>
      <c r="W162" s="14"/>
      <c r="X162" s="18" t="str">
        <f aca="false">IF(S162="","",S162+N(T162)+N(U162)+N(V162)+N(W162))</f>
        <v/>
      </c>
      <c r="Y162" s="4"/>
      <c r="Z162" s="15"/>
      <c r="AA162" s="14"/>
      <c r="AB162" s="19"/>
      <c r="AC162" s="4"/>
      <c r="AD162" s="15"/>
      <c r="AE162" s="14"/>
      <c r="AF162" s="14"/>
      <c r="AG162" s="14"/>
      <c r="AH162" s="18" t="str">
        <f aca="false">IF(AND(AC162="Sold",AE162&lt;&gt;"",AF162&lt;&gt;""),AE162-AF162,"")</f>
        <v/>
      </c>
      <c r="AI162" s="18" t="str">
        <f aca="false">IF(AND(AC162="Sold",AF162&lt;&gt;"",X162&lt;&gt;""),AF162-N(AG162)-X162,"")</f>
        <v/>
      </c>
      <c r="AJ162" s="20" t="str">
        <f aca="false">IF(AND(AI162&lt;&gt;"",N(AE162)&gt;0),AI162/AE162,"")</f>
        <v/>
      </c>
      <c r="AK162" s="20" t="str">
        <f aca="false">IF(AND(AI162&lt;&gt;"",N(X162)&gt;0),AI162/X162,"")</f>
        <v/>
      </c>
      <c r="AL162" s="21" t="str">
        <f aca="false">IF(AND(AC162="Sold",AD162&lt;&gt;"",Z162&lt;&gt;""),AD162-Z162,"")</f>
        <v/>
      </c>
      <c r="AM162" s="20" t="str">
        <f aca="false">IF(AND(AC162="Sold",N(AA162)&gt;0,AE162&lt;&gt;""),1-AE162/AA162,"")</f>
        <v/>
      </c>
      <c r="AN162" s="21" t="str">
        <f aca="true">IF(AND(AC162&lt;&gt;"Sold",AC162&lt;&gt;"",Z162&lt;&gt;""),TODAY()-Z162,"")</f>
        <v/>
      </c>
      <c r="AO162" s="4"/>
      <c r="AP162" s="4"/>
    </row>
    <row r="163" customFormat="false" ht="1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14"/>
      <c r="O163" s="15"/>
      <c r="P163" s="16"/>
      <c r="Q163" s="4"/>
      <c r="R163" s="17"/>
      <c r="S163" s="18" t="str">
        <f aca="false">IF(OR(P163="",R163=""),"",P163*R163)</f>
        <v/>
      </c>
      <c r="T163" s="14"/>
      <c r="U163" s="14"/>
      <c r="V163" s="14"/>
      <c r="W163" s="14"/>
      <c r="X163" s="18" t="str">
        <f aca="false">IF(S163="","",S163+N(T163)+N(U163)+N(V163)+N(W163))</f>
        <v/>
      </c>
      <c r="Y163" s="4"/>
      <c r="Z163" s="15"/>
      <c r="AA163" s="14"/>
      <c r="AB163" s="19"/>
      <c r="AC163" s="4"/>
      <c r="AD163" s="15"/>
      <c r="AE163" s="14"/>
      <c r="AF163" s="14"/>
      <c r="AG163" s="14"/>
      <c r="AH163" s="18" t="str">
        <f aca="false">IF(AND(AC163="Sold",AE163&lt;&gt;"",AF163&lt;&gt;""),AE163-AF163,"")</f>
        <v/>
      </c>
      <c r="AI163" s="18" t="str">
        <f aca="false">IF(AND(AC163="Sold",AF163&lt;&gt;"",X163&lt;&gt;""),AF163-N(AG163)-X163,"")</f>
        <v/>
      </c>
      <c r="AJ163" s="20" t="str">
        <f aca="false">IF(AND(AI163&lt;&gt;"",N(AE163)&gt;0),AI163/AE163,"")</f>
        <v/>
      </c>
      <c r="AK163" s="20" t="str">
        <f aca="false">IF(AND(AI163&lt;&gt;"",N(X163)&gt;0),AI163/X163,"")</f>
        <v/>
      </c>
      <c r="AL163" s="21" t="str">
        <f aca="false">IF(AND(AC163="Sold",AD163&lt;&gt;"",Z163&lt;&gt;""),AD163-Z163,"")</f>
        <v/>
      </c>
      <c r="AM163" s="20" t="str">
        <f aca="false">IF(AND(AC163="Sold",N(AA163)&gt;0,AE163&lt;&gt;""),1-AE163/AA163,"")</f>
        <v/>
      </c>
      <c r="AN163" s="21" t="str">
        <f aca="true">IF(AND(AC163&lt;&gt;"Sold",AC163&lt;&gt;"",Z163&lt;&gt;""),TODAY()-Z163,"")</f>
        <v/>
      </c>
      <c r="AO163" s="4"/>
      <c r="AP163" s="4"/>
    </row>
    <row r="164" customFormat="false" ht="1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14"/>
      <c r="O164" s="15"/>
      <c r="P164" s="16"/>
      <c r="Q164" s="4"/>
      <c r="R164" s="17"/>
      <c r="S164" s="18" t="str">
        <f aca="false">IF(OR(P164="",R164=""),"",P164*R164)</f>
        <v/>
      </c>
      <c r="T164" s="14"/>
      <c r="U164" s="14"/>
      <c r="V164" s="14"/>
      <c r="W164" s="14"/>
      <c r="X164" s="18" t="str">
        <f aca="false">IF(S164="","",S164+N(T164)+N(U164)+N(V164)+N(W164))</f>
        <v/>
      </c>
      <c r="Y164" s="4"/>
      <c r="Z164" s="15"/>
      <c r="AA164" s="14"/>
      <c r="AB164" s="19"/>
      <c r="AC164" s="4"/>
      <c r="AD164" s="15"/>
      <c r="AE164" s="14"/>
      <c r="AF164" s="14"/>
      <c r="AG164" s="14"/>
      <c r="AH164" s="18" t="str">
        <f aca="false">IF(AND(AC164="Sold",AE164&lt;&gt;"",AF164&lt;&gt;""),AE164-AF164,"")</f>
        <v/>
      </c>
      <c r="AI164" s="18" t="str">
        <f aca="false">IF(AND(AC164="Sold",AF164&lt;&gt;"",X164&lt;&gt;""),AF164-N(AG164)-X164,"")</f>
        <v/>
      </c>
      <c r="AJ164" s="20" t="str">
        <f aca="false">IF(AND(AI164&lt;&gt;"",N(AE164)&gt;0),AI164/AE164,"")</f>
        <v/>
      </c>
      <c r="AK164" s="20" t="str">
        <f aca="false">IF(AND(AI164&lt;&gt;"",N(X164)&gt;0),AI164/X164,"")</f>
        <v/>
      </c>
      <c r="AL164" s="21" t="str">
        <f aca="false">IF(AND(AC164="Sold",AD164&lt;&gt;"",Z164&lt;&gt;""),AD164-Z164,"")</f>
        <v/>
      </c>
      <c r="AM164" s="20" t="str">
        <f aca="false">IF(AND(AC164="Sold",N(AA164)&gt;0,AE164&lt;&gt;""),1-AE164/AA164,"")</f>
        <v/>
      </c>
      <c r="AN164" s="21" t="str">
        <f aca="true">IF(AND(AC164&lt;&gt;"Sold",AC164&lt;&gt;"",Z164&lt;&gt;""),TODAY()-Z164,"")</f>
        <v/>
      </c>
      <c r="AO164" s="4"/>
      <c r="AP164" s="4"/>
    </row>
    <row r="165" customFormat="false" ht="1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14"/>
      <c r="O165" s="15"/>
      <c r="P165" s="16"/>
      <c r="Q165" s="4"/>
      <c r="R165" s="17"/>
      <c r="S165" s="18" t="str">
        <f aca="false">IF(OR(P165="",R165=""),"",P165*R165)</f>
        <v/>
      </c>
      <c r="T165" s="14"/>
      <c r="U165" s="14"/>
      <c r="V165" s="14"/>
      <c r="W165" s="14"/>
      <c r="X165" s="18" t="str">
        <f aca="false">IF(S165="","",S165+N(T165)+N(U165)+N(V165)+N(W165))</f>
        <v/>
      </c>
      <c r="Y165" s="4"/>
      <c r="Z165" s="15"/>
      <c r="AA165" s="14"/>
      <c r="AB165" s="19"/>
      <c r="AC165" s="4"/>
      <c r="AD165" s="15"/>
      <c r="AE165" s="14"/>
      <c r="AF165" s="14"/>
      <c r="AG165" s="14"/>
      <c r="AH165" s="18" t="str">
        <f aca="false">IF(AND(AC165="Sold",AE165&lt;&gt;"",AF165&lt;&gt;""),AE165-AF165,"")</f>
        <v/>
      </c>
      <c r="AI165" s="18" t="str">
        <f aca="false">IF(AND(AC165="Sold",AF165&lt;&gt;"",X165&lt;&gt;""),AF165-N(AG165)-X165,"")</f>
        <v/>
      </c>
      <c r="AJ165" s="20" t="str">
        <f aca="false">IF(AND(AI165&lt;&gt;"",N(AE165)&gt;0),AI165/AE165,"")</f>
        <v/>
      </c>
      <c r="AK165" s="20" t="str">
        <f aca="false">IF(AND(AI165&lt;&gt;"",N(X165)&gt;0),AI165/X165,"")</f>
        <v/>
      </c>
      <c r="AL165" s="21" t="str">
        <f aca="false">IF(AND(AC165="Sold",AD165&lt;&gt;"",Z165&lt;&gt;""),AD165-Z165,"")</f>
        <v/>
      </c>
      <c r="AM165" s="20" t="str">
        <f aca="false">IF(AND(AC165="Sold",N(AA165)&gt;0,AE165&lt;&gt;""),1-AE165/AA165,"")</f>
        <v/>
      </c>
      <c r="AN165" s="21" t="str">
        <f aca="true">IF(AND(AC165&lt;&gt;"Sold",AC165&lt;&gt;"",Z165&lt;&gt;""),TODAY()-Z165,"")</f>
        <v/>
      </c>
      <c r="AO165" s="4"/>
      <c r="AP165" s="4"/>
    </row>
    <row r="166" customFormat="false" ht="1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4"/>
      <c r="O166" s="15"/>
      <c r="P166" s="16"/>
      <c r="Q166" s="4"/>
      <c r="R166" s="17"/>
      <c r="S166" s="18" t="str">
        <f aca="false">IF(OR(P166="",R166=""),"",P166*R166)</f>
        <v/>
      </c>
      <c r="T166" s="14"/>
      <c r="U166" s="14"/>
      <c r="V166" s="14"/>
      <c r="W166" s="14"/>
      <c r="X166" s="18" t="str">
        <f aca="false">IF(S166="","",S166+N(T166)+N(U166)+N(V166)+N(W166))</f>
        <v/>
      </c>
      <c r="Y166" s="4"/>
      <c r="Z166" s="15"/>
      <c r="AA166" s="14"/>
      <c r="AB166" s="19"/>
      <c r="AC166" s="4"/>
      <c r="AD166" s="15"/>
      <c r="AE166" s="14"/>
      <c r="AF166" s="14"/>
      <c r="AG166" s="14"/>
      <c r="AH166" s="18" t="str">
        <f aca="false">IF(AND(AC166="Sold",AE166&lt;&gt;"",AF166&lt;&gt;""),AE166-AF166,"")</f>
        <v/>
      </c>
      <c r="AI166" s="18" t="str">
        <f aca="false">IF(AND(AC166="Sold",AF166&lt;&gt;"",X166&lt;&gt;""),AF166-N(AG166)-X166,"")</f>
        <v/>
      </c>
      <c r="AJ166" s="20" t="str">
        <f aca="false">IF(AND(AI166&lt;&gt;"",N(AE166)&gt;0),AI166/AE166,"")</f>
        <v/>
      </c>
      <c r="AK166" s="20" t="str">
        <f aca="false">IF(AND(AI166&lt;&gt;"",N(X166)&gt;0),AI166/X166,"")</f>
        <v/>
      </c>
      <c r="AL166" s="21" t="str">
        <f aca="false">IF(AND(AC166="Sold",AD166&lt;&gt;"",Z166&lt;&gt;""),AD166-Z166,"")</f>
        <v/>
      </c>
      <c r="AM166" s="20" t="str">
        <f aca="false">IF(AND(AC166="Sold",N(AA166)&gt;0,AE166&lt;&gt;""),1-AE166/AA166,"")</f>
        <v/>
      </c>
      <c r="AN166" s="21" t="str">
        <f aca="true">IF(AND(AC166&lt;&gt;"Sold",AC166&lt;&gt;"",Z166&lt;&gt;""),TODAY()-Z166,"")</f>
        <v/>
      </c>
      <c r="AO166" s="4"/>
      <c r="AP166" s="4"/>
    </row>
    <row r="167" customFormat="false" ht="1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14"/>
      <c r="O167" s="15"/>
      <c r="P167" s="16"/>
      <c r="Q167" s="4"/>
      <c r="R167" s="17"/>
      <c r="S167" s="18" t="str">
        <f aca="false">IF(OR(P167="",R167=""),"",P167*R167)</f>
        <v/>
      </c>
      <c r="T167" s="14"/>
      <c r="U167" s="14"/>
      <c r="V167" s="14"/>
      <c r="W167" s="14"/>
      <c r="X167" s="18" t="str">
        <f aca="false">IF(S167="","",S167+N(T167)+N(U167)+N(V167)+N(W167))</f>
        <v/>
      </c>
      <c r="Y167" s="4"/>
      <c r="Z167" s="15"/>
      <c r="AA167" s="14"/>
      <c r="AB167" s="19"/>
      <c r="AC167" s="4"/>
      <c r="AD167" s="15"/>
      <c r="AE167" s="14"/>
      <c r="AF167" s="14"/>
      <c r="AG167" s="14"/>
      <c r="AH167" s="18" t="str">
        <f aca="false">IF(AND(AC167="Sold",AE167&lt;&gt;"",AF167&lt;&gt;""),AE167-AF167,"")</f>
        <v/>
      </c>
      <c r="AI167" s="18" t="str">
        <f aca="false">IF(AND(AC167="Sold",AF167&lt;&gt;"",X167&lt;&gt;""),AF167-N(AG167)-X167,"")</f>
        <v/>
      </c>
      <c r="AJ167" s="20" t="str">
        <f aca="false">IF(AND(AI167&lt;&gt;"",N(AE167)&gt;0),AI167/AE167,"")</f>
        <v/>
      </c>
      <c r="AK167" s="20" t="str">
        <f aca="false">IF(AND(AI167&lt;&gt;"",N(X167)&gt;0),AI167/X167,"")</f>
        <v/>
      </c>
      <c r="AL167" s="21" t="str">
        <f aca="false">IF(AND(AC167="Sold",AD167&lt;&gt;"",Z167&lt;&gt;""),AD167-Z167,"")</f>
        <v/>
      </c>
      <c r="AM167" s="20" t="str">
        <f aca="false">IF(AND(AC167="Sold",N(AA167)&gt;0,AE167&lt;&gt;""),1-AE167/AA167,"")</f>
        <v/>
      </c>
      <c r="AN167" s="21" t="str">
        <f aca="true">IF(AND(AC167&lt;&gt;"Sold",AC167&lt;&gt;"",Z167&lt;&gt;""),TODAY()-Z167,"")</f>
        <v/>
      </c>
      <c r="AO167" s="4"/>
      <c r="AP167" s="4"/>
    </row>
    <row r="168" customFormat="false" ht="1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14"/>
      <c r="O168" s="15"/>
      <c r="P168" s="16"/>
      <c r="Q168" s="4"/>
      <c r="R168" s="17"/>
      <c r="S168" s="18" t="str">
        <f aca="false">IF(OR(P168="",R168=""),"",P168*R168)</f>
        <v/>
      </c>
      <c r="T168" s="14"/>
      <c r="U168" s="14"/>
      <c r="V168" s="14"/>
      <c r="W168" s="14"/>
      <c r="X168" s="18" t="str">
        <f aca="false">IF(S168="","",S168+N(T168)+N(U168)+N(V168)+N(W168))</f>
        <v/>
      </c>
      <c r="Y168" s="4"/>
      <c r="Z168" s="15"/>
      <c r="AA168" s="14"/>
      <c r="AB168" s="19"/>
      <c r="AC168" s="4"/>
      <c r="AD168" s="15"/>
      <c r="AE168" s="14"/>
      <c r="AF168" s="14"/>
      <c r="AG168" s="14"/>
      <c r="AH168" s="18" t="str">
        <f aca="false">IF(AND(AC168="Sold",AE168&lt;&gt;"",AF168&lt;&gt;""),AE168-AF168,"")</f>
        <v/>
      </c>
      <c r="AI168" s="18" t="str">
        <f aca="false">IF(AND(AC168="Sold",AF168&lt;&gt;"",X168&lt;&gt;""),AF168-N(AG168)-X168,"")</f>
        <v/>
      </c>
      <c r="AJ168" s="20" t="str">
        <f aca="false">IF(AND(AI168&lt;&gt;"",N(AE168)&gt;0),AI168/AE168,"")</f>
        <v/>
      </c>
      <c r="AK168" s="20" t="str">
        <f aca="false">IF(AND(AI168&lt;&gt;"",N(X168)&gt;0),AI168/X168,"")</f>
        <v/>
      </c>
      <c r="AL168" s="21" t="str">
        <f aca="false">IF(AND(AC168="Sold",AD168&lt;&gt;"",Z168&lt;&gt;""),AD168-Z168,"")</f>
        <v/>
      </c>
      <c r="AM168" s="20" t="str">
        <f aca="false">IF(AND(AC168="Sold",N(AA168)&gt;0,AE168&lt;&gt;""),1-AE168/AA168,"")</f>
        <v/>
      </c>
      <c r="AN168" s="21" t="str">
        <f aca="true">IF(AND(AC168&lt;&gt;"Sold",AC168&lt;&gt;"",Z168&lt;&gt;""),TODAY()-Z168,"")</f>
        <v/>
      </c>
      <c r="AO168" s="4"/>
      <c r="AP168" s="4"/>
    </row>
    <row r="169" customFormat="false" ht="1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14"/>
      <c r="O169" s="15"/>
      <c r="P169" s="16"/>
      <c r="Q169" s="4"/>
      <c r="R169" s="17"/>
      <c r="S169" s="18" t="str">
        <f aca="false">IF(OR(P169="",R169=""),"",P169*R169)</f>
        <v/>
      </c>
      <c r="T169" s="14"/>
      <c r="U169" s="14"/>
      <c r="V169" s="14"/>
      <c r="W169" s="14"/>
      <c r="X169" s="18" t="str">
        <f aca="false">IF(S169="","",S169+N(T169)+N(U169)+N(V169)+N(W169))</f>
        <v/>
      </c>
      <c r="Y169" s="4"/>
      <c r="Z169" s="15"/>
      <c r="AA169" s="14"/>
      <c r="AB169" s="19"/>
      <c r="AC169" s="4"/>
      <c r="AD169" s="15"/>
      <c r="AE169" s="14"/>
      <c r="AF169" s="14"/>
      <c r="AG169" s="14"/>
      <c r="AH169" s="18" t="str">
        <f aca="false">IF(AND(AC169="Sold",AE169&lt;&gt;"",AF169&lt;&gt;""),AE169-AF169,"")</f>
        <v/>
      </c>
      <c r="AI169" s="18" t="str">
        <f aca="false">IF(AND(AC169="Sold",AF169&lt;&gt;"",X169&lt;&gt;""),AF169-N(AG169)-X169,"")</f>
        <v/>
      </c>
      <c r="AJ169" s="20" t="str">
        <f aca="false">IF(AND(AI169&lt;&gt;"",N(AE169)&gt;0),AI169/AE169,"")</f>
        <v/>
      </c>
      <c r="AK169" s="20" t="str">
        <f aca="false">IF(AND(AI169&lt;&gt;"",N(X169)&gt;0),AI169/X169,"")</f>
        <v/>
      </c>
      <c r="AL169" s="21" t="str">
        <f aca="false">IF(AND(AC169="Sold",AD169&lt;&gt;"",Z169&lt;&gt;""),AD169-Z169,"")</f>
        <v/>
      </c>
      <c r="AM169" s="20" t="str">
        <f aca="false">IF(AND(AC169="Sold",N(AA169)&gt;0,AE169&lt;&gt;""),1-AE169/AA169,"")</f>
        <v/>
      </c>
      <c r="AN169" s="21" t="str">
        <f aca="true">IF(AND(AC169&lt;&gt;"Sold",AC169&lt;&gt;"",Z169&lt;&gt;""),TODAY()-Z169,"")</f>
        <v/>
      </c>
      <c r="AO169" s="4"/>
      <c r="AP169" s="4"/>
    </row>
    <row r="170" customFormat="false" ht="1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14"/>
      <c r="O170" s="15"/>
      <c r="P170" s="16"/>
      <c r="Q170" s="4"/>
      <c r="R170" s="17"/>
      <c r="S170" s="18" t="str">
        <f aca="false">IF(OR(P170="",R170=""),"",P170*R170)</f>
        <v/>
      </c>
      <c r="T170" s="14"/>
      <c r="U170" s="14"/>
      <c r="V170" s="14"/>
      <c r="W170" s="14"/>
      <c r="X170" s="18" t="str">
        <f aca="false">IF(S170="","",S170+N(T170)+N(U170)+N(V170)+N(W170))</f>
        <v/>
      </c>
      <c r="Y170" s="4"/>
      <c r="Z170" s="15"/>
      <c r="AA170" s="14"/>
      <c r="AB170" s="19"/>
      <c r="AC170" s="4"/>
      <c r="AD170" s="15"/>
      <c r="AE170" s="14"/>
      <c r="AF170" s="14"/>
      <c r="AG170" s="14"/>
      <c r="AH170" s="18" t="str">
        <f aca="false">IF(AND(AC170="Sold",AE170&lt;&gt;"",AF170&lt;&gt;""),AE170-AF170,"")</f>
        <v/>
      </c>
      <c r="AI170" s="18" t="str">
        <f aca="false">IF(AND(AC170="Sold",AF170&lt;&gt;"",X170&lt;&gt;""),AF170-N(AG170)-X170,"")</f>
        <v/>
      </c>
      <c r="AJ170" s="20" t="str">
        <f aca="false">IF(AND(AI170&lt;&gt;"",N(AE170)&gt;0),AI170/AE170,"")</f>
        <v/>
      </c>
      <c r="AK170" s="20" t="str">
        <f aca="false">IF(AND(AI170&lt;&gt;"",N(X170)&gt;0),AI170/X170,"")</f>
        <v/>
      </c>
      <c r="AL170" s="21" t="str">
        <f aca="false">IF(AND(AC170="Sold",AD170&lt;&gt;"",Z170&lt;&gt;""),AD170-Z170,"")</f>
        <v/>
      </c>
      <c r="AM170" s="20" t="str">
        <f aca="false">IF(AND(AC170="Sold",N(AA170)&gt;0,AE170&lt;&gt;""),1-AE170/AA170,"")</f>
        <v/>
      </c>
      <c r="AN170" s="21" t="str">
        <f aca="true">IF(AND(AC170&lt;&gt;"Sold",AC170&lt;&gt;"",Z170&lt;&gt;""),TODAY()-Z170,"")</f>
        <v/>
      </c>
      <c r="AO170" s="4"/>
      <c r="AP170" s="4"/>
    </row>
    <row r="171" customFormat="false" ht="1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14"/>
      <c r="O171" s="15"/>
      <c r="P171" s="16"/>
      <c r="Q171" s="4"/>
      <c r="R171" s="17"/>
      <c r="S171" s="18" t="str">
        <f aca="false">IF(OR(P171="",R171=""),"",P171*R171)</f>
        <v/>
      </c>
      <c r="T171" s="14"/>
      <c r="U171" s="14"/>
      <c r="V171" s="14"/>
      <c r="W171" s="14"/>
      <c r="X171" s="18" t="str">
        <f aca="false">IF(S171="","",S171+N(T171)+N(U171)+N(V171)+N(W171))</f>
        <v/>
      </c>
      <c r="Y171" s="4"/>
      <c r="Z171" s="15"/>
      <c r="AA171" s="14"/>
      <c r="AB171" s="19"/>
      <c r="AC171" s="4"/>
      <c r="AD171" s="15"/>
      <c r="AE171" s="14"/>
      <c r="AF171" s="14"/>
      <c r="AG171" s="14"/>
      <c r="AH171" s="18" t="str">
        <f aca="false">IF(AND(AC171="Sold",AE171&lt;&gt;"",AF171&lt;&gt;""),AE171-AF171,"")</f>
        <v/>
      </c>
      <c r="AI171" s="18" t="str">
        <f aca="false">IF(AND(AC171="Sold",AF171&lt;&gt;"",X171&lt;&gt;""),AF171-N(AG171)-X171,"")</f>
        <v/>
      </c>
      <c r="AJ171" s="20" t="str">
        <f aca="false">IF(AND(AI171&lt;&gt;"",N(AE171)&gt;0),AI171/AE171,"")</f>
        <v/>
      </c>
      <c r="AK171" s="20" t="str">
        <f aca="false">IF(AND(AI171&lt;&gt;"",N(X171)&gt;0),AI171/X171,"")</f>
        <v/>
      </c>
      <c r="AL171" s="21" t="str">
        <f aca="false">IF(AND(AC171="Sold",AD171&lt;&gt;"",Z171&lt;&gt;""),AD171-Z171,"")</f>
        <v/>
      </c>
      <c r="AM171" s="20" t="str">
        <f aca="false">IF(AND(AC171="Sold",N(AA171)&gt;0,AE171&lt;&gt;""),1-AE171/AA171,"")</f>
        <v/>
      </c>
      <c r="AN171" s="21" t="str">
        <f aca="true">IF(AND(AC171&lt;&gt;"Sold",AC171&lt;&gt;"",Z171&lt;&gt;""),TODAY()-Z171,"")</f>
        <v/>
      </c>
      <c r="AO171" s="4"/>
      <c r="AP171" s="4"/>
    </row>
    <row r="172" customFormat="false" ht="1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14"/>
      <c r="O172" s="15"/>
      <c r="P172" s="16"/>
      <c r="Q172" s="4"/>
      <c r="R172" s="17"/>
      <c r="S172" s="18" t="str">
        <f aca="false">IF(OR(P172="",R172=""),"",P172*R172)</f>
        <v/>
      </c>
      <c r="T172" s="14"/>
      <c r="U172" s="14"/>
      <c r="V172" s="14"/>
      <c r="W172" s="14"/>
      <c r="X172" s="18" t="str">
        <f aca="false">IF(S172="","",S172+N(T172)+N(U172)+N(V172)+N(W172))</f>
        <v/>
      </c>
      <c r="Y172" s="4"/>
      <c r="Z172" s="15"/>
      <c r="AA172" s="14"/>
      <c r="AB172" s="19"/>
      <c r="AC172" s="4"/>
      <c r="AD172" s="15"/>
      <c r="AE172" s="14"/>
      <c r="AF172" s="14"/>
      <c r="AG172" s="14"/>
      <c r="AH172" s="18" t="str">
        <f aca="false">IF(AND(AC172="Sold",AE172&lt;&gt;"",AF172&lt;&gt;""),AE172-AF172,"")</f>
        <v/>
      </c>
      <c r="AI172" s="18" t="str">
        <f aca="false">IF(AND(AC172="Sold",AF172&lt;&gt;"",X172&lt;&gt;""),AF172-N(AG172)-X172,"")</f>
        <v/>
      </c>
      <c r="AJ172" s="20" t="str">
        <f aca="false">IF(AND(AI172&lt;&gt;"",N(AE172)&gt;0),AI172/AE172,"")</f>
        <v/>
      </c>
      <c r="AK172" s="20" t="str">
        <f aca="false">IF(AND(AI172&lt;&gt;"",N(X172)&gt;0),AI172/X172,"")</f>
        <v/>
      </c>
      <c r="AL172" s="21" t="str">
        <f aca="false">IF(AND(AC172="Sold",AD172&lt;&gt;"",Z172&lt;&gt;""),AD172-Z172,"")</f>
        <v/>
      </c>
      <c r="AM172" s="20" t="str">
        <f aca="false">IF(AND(AC172="Sold",N(AA172)&gt;0,AE172&lt;&gt;""),1-AE172/AA172,"")</f>
        <v/>
      </c>
      <c r="AN172" s="21" t="str">
        <f aca="true">IF(AND(AC172&lt;&gt;"Sold",AC172&lt;&gt;"",Z172&lt;&gt;""),TODAY()-Z172,"")</f>
        <v/>
      </c>
      <c r="AO172" s="4"/>
      <c r="AP172" s="4"/>
    </row>
    <row r="173" customFormat="false" ht="1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14"/>
      <c r="O173" s="15"/>
      <c r="P173" s="16"/>
      <c r="Q173" s="4"/>
      <c r="R173" s="17"/>
      <c r="S173" s="18" t="str">
        <f aca="false">IF(OR(P173="",R173=""),"",P173*R173)</f>
        <v/>
      </c>
      <c r="T173" s="14"/>
      <c r="U173" s="14"/>
      <c r="V173" s="14"/>
      <c r="W173" s="14"/>
      <c r="X173" s="18" t="str">
        <f aca="false">IF(S173="","",S173+N(T173)+N(U173)+N(V173)+N(W173))</f>
        <v/>
      </c>
      <c r="Y173" s="4"/>
      <c r="Z173" s="15"/>
      <c r="AA173" s="14"/>
      <c r="AB173" s="19"/>
      <c r="AC173" s="4"/>
      <c r="AD173" s="15"/>
      <c r="AE173" s="14"/>
      <c r="AF173" s="14"/>
      <c r="AG173" s="14"/>
      <c r="AH173" s="18" t="str">
        <f aca="false">IF(AND(AC173="Sold",AE173&lt;&gt;"",AF173&lt;&gt;""),AE173-AF173,"")</f>
        <v/>
      </c>
      <c r="AI173" s="18" t="str">
        <f aca="false">IF(AND(AC173="Sold",AF173&lt;&gt;"",X173&lt;&gt;""),AF173-N(AG173)-X173,"")</f>
        <v/>
      </c>
      <c r="AJ173" s="20" t="str">
        <f aca="false">IF(AND(AI173&lt;&gt;"",N(AE173)&gt;0),AI173/AE173,"")</f>
        <v/>
      </c>
      <c r="AK173" s="20" t="str">
        <f aca="false">IF(AND(AI173&lt;&gt;"",N(X173)&gt;0),AI173/X173,"")</f>
        <v/>
      </c>
      <c r="AL173" s="21" t="str">
        <f aca="false">IF(AND(AC173="Sold",AD173&lt;&gt;"",Z173&lt;&gt;""),AD173-Z173,"")</f>
        <v/>
      </c>
      <c r="AM173" s="20" t="str">
        <f aca="false">IF(AND(AC173="Sold",N(AA173)&gt;0,AE173&lt;&gt;""),1-AE173/AA173,"")</f>
        <v/>
      </c>
      <c r="AN173" s="21" t="str">
        <f aca="true">IF(AND(AC173&lt;&gt;"Sold",AC173&lt;&gt;"",Z173&lt;&gt;""),TODAY()-Z173,"")</f>
        <v/>
      </c>
      <c r="AO173" s="4"/>
      <c r="AP173" s="4"/>
    </row>
    <row r="174" customFormat="false" ht="1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14"/>
      <c r="O174" s="15"/>
      <c r="P174" s="16"/>
      <c r="Q174" s="4"/>
      <c r="R174" s="17"/>
      <c r="S174" s="18" t="str">
        <f aca="false">IF(OR(P174="",R174=""),"",P174*R174)</f>
        <v/>
      </c>
      <c r="T174" s="14"/>
      <c r="U174" s="14"/>
      <c r="V174" s="14"/>
      <c r="W174" s="14"/>
      <c r="X174" s="18" t="str">
        <f aca="false">IF(S174="","",S174+N(T174)+N(U174)+N(V174)+N(W174))</f>
        <v/>
      </c>
      <c r="Y174" s="4"/>
      <c r="Z174" s="15"/>
      <c r="AA174" s="14"/>
      <c r="AB174" s="19"/>
      <c r="AC174" s="4"/>
      <c r="AD174" s="15"/>
      <c r="AE174" s="14"/>
      <c r="AF174" s="14"/>
      <c r="AG174" s="14"/>
      <c r="AH174" s="18" t="str">
        <f aca="false">IF(AND(AC174="Sold",AE174&lt;&gt;"",AF174&lt;&gt;""),AE174-AF174,"")</f>
        <v/>
      </c>
      <c r="AI174" s="18" t="str">
        <f aca="false">IF(AND(AC174="Sold",AF174&lt;&gt;"",X174&lt;&gt;""),AF174-N(AG174)-X174,"")</f>
        <v/>
      </c>
      <c r="AJ174" s="20" t="str">
        <f aca="false">IF(AND(AI174&lt;&gt;"",N(AE174)&gt;0),AI174/AE174,"")</f>
        <v/>
      </c>
      <c r="AK174" s="20" t="str">
        <f aca="false">IF(AND(AI174&lt;&gt;"",N(X174)&gt;0),AI174/X174,"")</f>
        <v/>
      </c>
      <c r="AL174" s="21" t="str">
        <f aca="false">IF(AND(AC174="Sold",AD174&lt;&gt;"",Z174&lt;&gt;""),AD174-Z174,"")</f>
        <v/>
      </c>
      <c r="AM174" s="20" t="str">
        <f aca="false">IF(AND(AC174="Sold",N(AA174)&gt;0,AE174&lt;&gt;""),1-AE174/AA174,"")</f>
        <v/>
      </c>
      <c r="AN174" s="21" t="str">
        <f aca="true">IF(AND(AC174&lt;&gt;"Sold",AC174&lt;&gt;"",Z174&lt;&gt;""),TODAY()-Z174,"")</f>
        <v/>
      </c>
      <c r="AO174" s="4"/>
      <c r="AP174" s="4"/>
    </row>
    <row r="175" customFormat="false" ht="1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14"/>
      <c r="O175" s="15"/>
      <c r="P175" s="16"/>
      <c r="Q175" s="4"/>
      <c r="R175" s="17"/>
      <c r="S175" s="18" t="str">
        <f aca="false">IF(OR(P175="",R175=""),"",P175*R175)</f>
        <v/>
      </c>
      <c r="T175" s="14"/>
      <c r="U175" s="14"/>
      <c r="V175" s="14"/>
      <c r="W175" s="14"/>
      <c r="X175" s="18" t="str">
        <f aca="false">IF(S175="","",S175+N(T175)+N(U175)+N(V175)+N(W175))</f>
        <v/>
      </c>
      <c r="Y175" s="4"/>
      <c r="Z175" s="15"/>
      <c r="AA175" s="14"/>
      <c r="AB175" s="19"/>
      <c r="AC175" s="4"/>
      <c r="AD175" s="15"/>
      <c r="AE175" s="14"/>
      <c r="AF175" s="14"/>
      <c r="AG175" s="14"/>
      <c r="AH175" s="18" t="str">
        <f aca="false">IF(AND(AC175="Sold",AE175&lt;&gt;"",AF175&lt;&gt;""),AE175-AF175,"")</f>
        <v/>
      </c>
      <c r="AI175" s="18" t="str">
        <f aca="false">IF(AND(AC175="Sold",AF175&lt;&gt;"",X175&lt;&gt;""),AF175-N(AG175)-X175,"")</f>
        <v/>
      </c>
      <c r="AJ175" s="20" t="str">
        <f aca="false">IF(AND(AI175&lt;&gt;"",N(AE175)&gt;0),AI175/AE175,"")</f>
        <v/>
      </c>
      <c r="AK175" s="20" t="str">
        <f aca="false">IF(AND(AI175&lt;&gt;"",N(X175)&gt;0),AI175/X175,"")</f>
        <v/>
      </c>
      <c r="AL175" s="21" t="str">
        <f aca="false">IF(AND(AC175="Sold",AD175&lt;&gt;"",Z175&lt;&gt;""),AD175-Z175,"")</f>
        <v/>
      </c>
      <c r="AM175" s="20" t="str">
        <f aca="false">IF(AND(AC175="Sold",N(AA175)&gt;0,AE175&lt;&gt;""),1-AE175/AA175,"")</f>
        <v/>
      </c>
      <c r="AN175" s="21" t="str">
        <f aca="true">IF(AND(AC175&lt;&gt;"Sold",AC175&lt;&gt;"",Z175&lt;&gt;""),TODAY()-Z175,"")</f>
        <v/>
      </c>
      <c r="AO175" s="4"/>
      <c r="AP175" s="4"/>
    </row>
    <row r="176" customFormat="false" ht="1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4"/>
      <c r="O176" s="15"/>
      <c r="P176" s="16"/>
      <c r="Q176" s="4"/>
      <c r="R176" s="17"/>
      <c r="S176" s="18" t="str">
        <f aca="false">IF(OR(P176="",R176=""),"",P176*R176)</f>
        <v/>
      </c>
      <c r="T176" s="14"/>
      <c r="U176" s="14"/>
      <c r="V176" s="14"/>
      <c r="W176" s="14"/>
      <c r="X176" s="18" t="str">
        <f aca="false">IF(S176="","",S176+N(T176)+N(U176)+N(V176)+N(W176))</f>
        <v/>
      </c>
      <c r="Y176" s="4"/>
      <c r="Z176" s="15"/>
      <c r="AA176" s="14"/>
      <c r="AB176" s="19"/>
      <c r="AC176" s="4"/>
      <c r="AD176" s="15"/>
      <c r="AE176" s="14"/>
      <c r="AF176" s="14"/>
      <c r="AG176" s="14"/>
      <c r="AH176" s="18" t="str">
        <f aca="false">IF(AND(AC176="Sold",AE176&lt;&gt;"",AF176&lt;&gt;""),AE176-AF176,"")</f>
        <v/>
      </c>
      <c r="AI176" s="18" t="str">
        <f aca="false">IF(AND(AC176="Sold",AF176&lt;&gt;"",X176&lt;&gt;""),AF176-N(AG176)-X176,"")</f>
        <v/>
      </c>
      <c r="AJ176" s="20" t="str">
        <f aca="false">IF(AND(AI176&lt;&gt;"",N(AE176)&gt;0),AI176/AE176,"")</f>
        <v/>
      </c>
      <c r="AK176" s="20" t="str">
        <f aca="false">IF(AND(AI176&lt;&gt;"",N(X176)&gt;0),AI176/X176,"")</f>
        <v/>
      </c>
      <c r="AL176" s="21" t="str">
        <f aca="false">IF(AND(AC176="Sold",AD176&lt;&gt;"",Z176&lt;&gt;""),AD176-Z176,"")</f>
        <v/>
      </c>
      <c r="AM176" s="20" t="str">
        <f aca="false">IF(AND(AC176="Sold",N(AA176)&gt;0,AE176&lt;&gt;""),1-AE176/AA176,"")</f>
        <v/>
      </c>
      <c r="AN176" s="21" t="str">
        <f aca="true">IF(AND(AC176&lt;&gt;"Sold",AC176&lt;&gt;"",Z176&lt;&gt;""),TODAY()-Z176,"")</f>
        <v/>
      </c>
      <c r="AO176" s="4"/>
      <c r="AP176" s="4"/>
    </row>
    <row r="177" customFormat="false" ht="1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14"/>
      <c r="O177" s="15"/>
      <c r="P177" s="16"/>
      <c r="Q177" s="4"/>
      <c r="R177" s="17"/>
      <c r="S177" s="18" t="str">
        <f aca="false">IF(OR(P177="",R177=""),"",P177*R177)</f>
        <v/>
      </c>
      <c r="T177" s="14"/>
      <c r="U177" s="14"/>
      <c r="V177" s="14"/>
      <c r="W177" s="14"/>
      <c r="X177" s="18" t="str">
        <f aca="false">IF(S177="","",S177+N(T177)+N(U177)+N(V177)+N(W177))</f>
        <v/>
      </c>
      <c r="Y177" s="4"/>
      <c r="Z177" s="15"/>
      <c r="AA177" s="14"/>
      <c r="AB177" s="19"/>
      <c r="AC177" s="4"/>
      <c r="AD177" s="15"/>
      <c r="AE177" s="14"/>
      <c r="AF177" s="14"/>
      <c r="AG177" s="14"/>
      <c r="AH177" s="18" t="str">
        <f aca="false">IF(AND(AC177="Sold",AE177&lt;&gt;"",AF177&lt;&gt;""),AE177-AF177,"")</f>
        <v/>
      </c>
      <c r="AI177" s="18" t="str">
        <f aca="false">IF(AND(AC177="Sold",AF177&lt;&gt;"",X177&lt;&gt;""),AF177-N(AG177)-X177,"")</f>
        <v/>
      </c>
      <c r="AJ177" s="20" t="str">
        <f aca="false">IF(AND(AI177&lt;&gt;"",N(AE177)&gt;0),AI177/AE177,"")</f>
        <v/>
      </c>
      <c r="AK177" s="20" t="str">
        <f aca="false">IF(AND(AI177&lt;&gt;"",N(X177)&gt;0),AI177/X177,"")</f>
        <v/>
      </c>
      <c r="AL177" s="21" t="str">
        <f aca="false">IF(AND(AC177="Sold",AD177&lt;&gt;"",Z177&lt;&gt;""),AD177-Z177,"")</f>
        <v/>
      </c>
      <c r="AM177" s="20" t="str">
        <f aca="false">IF(AND(AC177="Sold",N(AA177)&gt;0,AE177&lt;&gt;""),1-AE177/AA177,"")</f>
        <v/>
      </c>
      <c r="AN177" s="21" t="str">
        <f aca="true">IF(AND(AC177&lt;&gt;"Sold",AC177&lt;&gt;"",Z177&lt;&gt;""),TODAY()-Z177,"")</f>
        <v/>
      </c>
      <c r="AO177" s="4"/>
      <c r="AP177" s="4"/>
    </row>
    <row r="178" customFormat="false" ht="1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14"/>
      <c r="O178" s="15"/>
      <c r="P178" s="16"/>
      <c r="Q178" s="4"/>
      <c r="R178" s="17"/>
      <c r="S178" s="18" t="str">
        <f aca="false">IF(OR(P178="",R178=""),"",P178*R178)</f>
        <v/>
      </c>
      <c r="T178" s="14"/>
      <c r="U178" s="14"/>
      <c r="V178" s="14"/>
      <c r="W178" s="14"/>
      <c r="X178" s="18" t="str">
        <f aca="false">IF(S178="","",S178+N(T178)+N(U178)+N(V178)+N(W178))</f>
        <v/>
      </c>
      <c r="Y178" s="4"/>
      <c r="Z178" s="15"/>
      <c r="AA178" s="14"/>
      <c r="AB178" s="19"/>
      <c r="AC178" s="4"/>
      <c r="AD178" s="15"/>
      <c r="AE178" s="14"/>
      <c r="AF178" s="14"/>
      <c r="AG178" s="14"/>
      <c r="AH178" s="18" t="str">
        <f aca="false">IF(AND(AC178="Sold",AE178&lt;&gt;"",AF178&lt;&gt;""),AE178-AF178,"")</f>
        <v/>
      </c>
      <c r="AI178" s="18" t="str">
        <f aca="false">IF(AND(AC178="Sold",AF178&lt;&gt;"",X178&lt;&gt;""),AF178-N(AG178)-X178,"")</f>
        <v/>
      </c>
      <c r="AJ178" s="20" t="str">
        <f aca="false">IF(AND(AI178&lt;&gt;"",N(AE178)&gt;0),AI178/AE178,"")</f>
        <v/>
      </c>
      <c r="AK178" s="20" t="str">
        <f aca="false">IF(AND(AI178&lt;&gt;"",N(X178)&gt;0),AI178/X178,"")</f>
        <v/>
      </c>
      <c r="AL178" s="21" t="str">
        <f aca="false">IF(AND(AC178="Sold",AD178&lt;&gt;"",Z178&lt;&gt;""),AD178-Z178,"")</f>
        <v/>
      </c>
      <c r="AM178" s="20" t="str">
        <f aca="false">IF(AND(AC178="Sold",N(AA178)&gt;0,AE178&lt;&gt;""),1-AE178/AA178,"")</f>
        <v/>
      </c>
      <c r="AN178" s="21" t="str">
        <f aca="true">IF(AND(AC178&lt;&gt;"Sold",AC178&lt;&gt;"",Z178&lt;&gt;""),TODAY()-Z178,"")</f>
        <v/>
      </c>
      <c r="AO178" s="4"/>
      <c r="AP178" s="4"/>
    </row>
    <row r="179" customFormat="false" ht="1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14"/>
      <c r="O179" s="15"/>
      <c r="P179" s="16"/>
      <c r="Q179" s="4"/>
      <c r="R179" s="17"/>
      <c r="S179" s="18" t="str">
        <f aca="false">IF(OR(P179="",R179=""),"",P179*R179)</f>
        <v/>
      </c>
      <c r="T179" s="14"/>
      <c r="U179" s="14"/>
      <c r="V179" s="14"/>
      <c r="W179" s="14"/>
      <c r="X179" s="18" t="str">
        <f aca="false">IF(S179="","",S179+N(T179)+N(U179)+N(V179)+N(W179))</f>
        <v/>
      </c>
      <c r="Y179" s="4"/>
      <c r="Z179" s="15"/>
      <c r="AA179" s="14"/>
      <c r="AB179" s="19"/>
      <c r="AC179" s="4"/>
      <c r="AD179" s="15"/>
      <c r="AE179" s="14"/>
      <c r="AF179" s="14"/>
      <c r="AG179" s="14"/>
      <c r="AH179" s="18" t="str">
        <f aca="false">IF(AND(AC179="Sold",AE179&lt;&gt;"",AF179&lt;&gt;""),AE179-AF179,"")</f>
        <v/>
      </c>
      <c r="AI179" s="18" t="str">
        <f aca="false">IF(AND(AC179="Sold",AF179&lt;&gt;"",X179&lt;&gt;""),AF179-N(AG179)-X179,"")</f>
        <v/>
      </c>
      <c r="AJ179" s="20" t="str">
        <f aca="false">IF(AND(AI179&lt;&gt;"",N(AE179)&gt;0),AI179/AE179,"")</f>
        <v/>
      </c>
      <c r="AK179" s="20" t="str">
        <f aca="false">IF(AND(AI179&lt;&gt;"",N(X179)&gt;0),AI179/X179,"")</f>
        <v/>
      </c>
      <c r="AL179" s="21" t="str">
        <f aca="false">IF(AND(AC179="Sold",AD179&lt;&gt;"",Z179&lt;&gt;""),AD179-Z179,"")</f>
        <v/>
      </c>
      <c r="AM179" s="20" t="str">
        <f aca="false">IF(AND(AC179="Sold",N(AA179)&gt;0,AE179&lt;&gt;""),1-AE179/AA179,"")</f>
        <v/>
      </c>
      <c r="AN179" s="21" t="str">
        <f aca="true">IF(AND(AC179&lt;&gt;"Sold",AC179&lt;&gt;"",Z179&lt;&gt;""),TODAY()-Z179,"")</f>
        <v/>
      </c>
      <c r="AO179" s="4"/>
      <c r="AP179" s="4"/>
    </row>
    <row r="180" customFormat="false" ht="1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14"/>
      <c r="O180" s="15"/>
      <c r="P180" s="16"/>
      <c r="Q180" s="4"/>
      <c r="R180" s="17"/>
      <c r="S180" s="18" t="str">
        <f aca="false">IF(OR(P180="",R180=""),"",P180*R180)</f>
        <v/>
      </c>
      <c r="T180" s="14"/>
      <c r="U180" s="14"/>
      <c r="V180" s="14"/>
      <c r="W180" s="14"/>
      <c r="X180" s="18" t="str">
        <f aca="false">IF(S180="","",S180+N(T180)+N(U180)+N(V180)+N(W180))</f>
        <v/>
      </c>
      <c r="Y180" s="4"/>
      <c r="Z180" s="15"/>
      <c r="AA180" s="14"/>
      <c r="AB180" s="19"/>
      <c r="AC180" s="4"/>
      <c r="AD180" s="15"/>
      <c r="AE180" s="14"/>
      <c r="AF180" s="14"/>
      <c r="AG180" s="14"/>
      <c r="AH180" s="18" t="str">
        <f aca="false">IF(AND(AC180="Sold",AE180&lt;&gt;"",AF180&lt;&gt;""),AE180-AF180,"")</f>
        <v/>
      </c>
      <c r="AI180" s="18" t="str">
        <f aca="false">IF(AND(AC180="Sold",AF180&lt;&gt;"",X180&lt;&gt;""),AF180-N(AG180)-X180,"")</f>
        <v/>
      </c>
      <c r="AJ180" s="20" t="str">
        <f aca="false">IF(AND(AI180&lt;&gt;"",N(AE180)&gt;0),AI180/AE180,"")</f>
        <v/>
      </c>
      <c r="AK180" s="20" t="str">
        <f aca="false">IF(AND(AI180&lt;&gt;"",N(X180)&gt;0),AI180/X180,"")</f>
        <v/>
      </c>
      <c r="AL180" s="21" t="str">
        <f aca="false">IF(AND(AC180="Sold",AD180&lt;&gt;"",Z180&lt;&gt;""),AD180-Z180,"")</f>
        <v/>
      </c>
      <c r="AM180" s="20" t="str">
        <f aca="false">IF(AND(AC180="Sold",N(AA180)&gt;0,AE180&lt;&gt;""),1-AE180/AA180,"")</f>
        <v/>
      </c>
      <c r="AN180" s="21" t="str">
        <f aca="true">IF(AND(AC180&lt;&gt;"Sold",AC180&lt;&gt;"",Z180&lt;&gt;""),TODAY()-Z180,"")</f>
        <v/>
      </c>
      <c r="AO180" s="4"/>
      <c r="AP180" s="4"/>
    </row>
    <row r="181" customFormat="false" ht="1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14"/>
      <c r="O181" s="15"/>
      <c r="P181" s="16"/>
      <c r="Q181" s="4"/>
      <c r="R181" s="17"/>
      <c r="S181" s="18" t="str">
        <f aca="false">IF(OR(P181="",R181=""),"",P181*R181)</f>
        <v/>
      </c>
      <c r="T181" s="14"/>
      <c r="U181" s="14"/>
      <c r="V181" s="14"/>
      <c r="W181" s="14"/>
      <c r="X181" s="18" t="str">
        <f aca="false">IF(S181="","",S181+N(T181)+N(U181)+N(V181)+N(W181))</f>
        <v/>
      </c>
      <c r="Y181" s="4"/>
      <c r="Z181" s="15"/>
      <c r="AA181" s="14"/>
      <c r="AB181" s="19"/>
      <c r="AC181" s="4"/>
      <c r="AD181" s="15"/>
      <c r="AE181" s="14"/>
      <c r="AF181" s="14"/>
      <c r="AG181" s="14"/>
      <c r="AH181" s="18" t="str">
        <f aca="false">IF(AND(AC181="Sold",AE181&lt;&gt;"",AF181&lt;&gt;""),AE181-AF181,"")</f>
        <v/>
      </c>
      <c r="AI181" s="18" t="str">
        <f aca="false">IF(AND(AC181="Sold",AF181&lt;&gt;"",X181&lt;&gt;""),AF181-N(AG181)-X181,"")</f>
        <v/>
      </c>
      <c r="AJ181" s="20" t="str">
        <f aca="false">IF(AND(AI181&lt;&gt;"",N(AE181)&gt;0),AI181/AE181,"")</f>
        <v/>
      </c>
      <c r="AK181" s="20" t="str">
        <f aca="false">IF(AND(AI181&lt;&gt;"",N(X181)&gt;0),AI181/X181,"")</f>
        <v/>
      </c>
      <c r="AL181" s="21" t="str">
        <f aca="false">IF(AND(AC181="Sold",AD181&lt;&gt;"",Z181&lt;&gt;""),AD181-Z181,"")</f>
        <v/>
      </c>
      <c r="AM181" s="20" t="str">
        <f aca="false">IF(AND(AC181="Sold",N(AA181)&gt;0,AE181&lt;&gt;""),1-AE181/AA181,"")</f>
        <v/>
      </c>
      <c r="AN181" s="21" t="str">
        <f aca="true">IF(AND(AC181&lt;&gt;"Sold",AC181&lt;&gt;"",Z181&lt;&gt;""),TODAY()-Z181,"")</f>
        <v/>
      </c>
      <c r="AO181" s="4"/>
      <c r="AP181" s="4"/>
    </row>
    <row r="182" customFormat="false" ht="1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14"/>
      <c r="O182" s="15"/>
      <c r="P182" s="16"/>
      <c r="Q182" s="4"/>
      <c r="R182" s="17"/>
      <c r="S182" s="18" t="str">
        <f aca="false">IF(OR(P182="",R182=""),"",P182*R182)</f>
        <v/>
      </c>
      <c r="T182" s="14"/>
      <c r="U182" s="14"/>
      <c r="V182" s="14"/>
      <c r="W182" s="14"/>
      <c r="X182" s="18" t="str">
        <f aca="false">IF(S182="","",S182+N(T182)+N(U182)+N(V182)+N(W182))</f>
        <v/>
      </c>
      <c r="Y182" s="4"/>
      <c r="Z182" s="15"/>
      <c r="AA182" s="14"/>
      <c r="AB182" s="19"/>
      <c r="AC182" s="4"/>
      <c r="AD182" s="15"/>
      <c r="AE182" s="14"/>
      <c r="AF182" s="14"/>
      <c r="AG182" s="14"/>
      <c r="AH182" s="18" t="str">
        <f aca="false">IF(AND(AC182="Sold",AE182&lt;&gt;"",AF182&lt;&gt;""),AE182-AF182,"")</f>
        <v/>
      </c>
      <c r="AI182" s="18" t="str">
        <f aca="false">IF(AND(AC182="Sold",AF182&lt;&gt;"",X182&lt;&gt;""),AF182-N(AG182)-X182,"")</f>
        <v/>
      </c>
      <c r="AJ182" s="20" t="str">
        <f aca="false">IF(AND(AI182&lt;&gt;"",N(AE182)&gt;0),AI182/AE182,"")</f>
        <v/>
      </c>
      <c r="AK182" s="20" t="str">
        <f aca="false">IF(AND(AI182&lt;&gt;"",N(X182)&gt;0),AI182/X182,"")</f>
        <v/>
      </c>
      <c r="AL182" s="21" t="str">
        <f aca="false">IF(AND(AC182="Sold",AD182&lt;&gt;"",Z182&lt;&gt;""),AD182-Z182,"")</f>
        <v/>
      </c>
      <c r="AM182" s="20" t="str">
        <f aca="false">IF(AND(AC182="Sold",N(AA182)&gt;0,AE182&lt;&gt;""),1-AE182/AA182,"")</f>
        <v/>
      </c>
      <c r="AN182" s="21" t="str">
        <f aca="true">IF(AND(AC182&lt;&gt;"Sold",AC182&lt;&gt;"",Z182&lt;&gt;""),TODAY()-Z182,"")</f>
        <v/>
      </c>
      <c r="AO182" s="4"/>
      <c r="AP182" s="4"/>
    </row>
    <row r="183" customFormat="false" ht="1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4"/>
      <c r="O183" s="15"/>
      <c r="P183" s="16"/>
      <c r="Q183" s="4"/>
      <c r="R183" s="17"/>
      <c r="S183" s="18" t="str">
        <f aca="false">IF(OR(P183="",R183=""),"",P183*R183)</f>
        <v/>
      </c>
      <c r="T183" s="14"/>
      <c r="U183" s="14"/>
      <c r="V183" s="14"/>
      <c r="W183" s="14"/>
      <c r="X183" s="18" t="str">
        <f aca="false">IF(S183="","",S183+N(T183)+N(U183)+N(V183)+N(W183))</f>
        <v/>
      </c>
      <c r="Y183" s="4"/>
      <c r="Z183" s="15"/>
      <c r="AA183" s="14"/>
      <c r="AB183" s="19"/>
      <c r="AC183" s="4"/>
      <c r="AD183" s="15"/>
      <c r="AE183" s="14"/>
      <c r="AF183" s="14"/>
      <c r="AG183" s="14"/>
      <c r="AH183" s="18" t="str">
        <f aca="false">IF(AND(AC183="Sold",AE183&lt;&gt;"",AF183&lt;&gt;""),AE183-AF183,"")</f>
        <v/>
      </c>
      <c r="AI183" s="18" t="str">
        <f aca="false">IF(AND(AC183="Sold",AF183&lt;&gt;"",X183&lt;&gt;""),AF183-N(AG183)-X183,"")</f>
        <v/>
      </c>
      <c r="AJ183" s="20" t="str">
        <f aca="false">IF(AND(AI183&lt;&gt;"",N(AE183)&gt;0),AI183/AE183,"")</f>
        <v/>
      </c>
      <c r="AK183" s="20" t="str">
        <f aca="false">IF(AND(AI183&lt;&gt;"",N(X183)&gt;0),AI183/X183,"")</f>
        <v/>
      </c>
      <c r="AL183" s="21" t="str">
        <f aca="false">IF(AND(AC183="Sold",AD183&lt;&gt;"",Z183&lt;&gt;""),AD183-Z183,"")</f>
        <v/>
      </c>
      <c r="AM183" s="20" t="str">
        <f aca="false">IF(AND(AC183="Sold",N(AA183)&gt;0,AE183&lt;&gt;""),1-AE183/AA183,"")</f>
        <v/>
      </c>
      <c r="AN183" s="21" t="str">
        <f aca="true">IF(AND(AC183&lt;&gt;"Sold",AC183&lt;&gt;"",Z183&lt;&gt;""),TODAY()-Z183,"")</f>
        <v/>
      </c>
      <c r="AO183" s="4"/>
      <c r="AP183" s="4"/>
    </row>
    <row r="184" customFormat="false" ht="1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14"/>
      <c r="O184" s="15"/>
      <c r="P184" s="16"/>
      <c r="Q184" s="4"/>
      <c r="R184" s="17"/>
      <c r="S184" s="18" t="str">
        <f aca="false">IF(OR(P184="",R184=""),"",P184*R184)</f>
        <v/>
      </c>
      <c r="T184" s="14"/>
      <c r="U184" s="14"/>
      <c r="V184" s="14"/>
      <c r="W184" s="14"/>
      <c r="X184" s="18" t="str">
        <f aca="false">IF(S184="","",S184+N(T184)+N(U184)+N(V184)+N(W184))</f>
        <v/>
      </c>
      <c r="Y184" s="4"/>
      <c r="Z184" s="15"/>
      <c r="AA184" s="14"/>
      <c r="AB184" s="19"/>
      <c r="AC184" s="4"/>
      <c r="AD184" s="15"/>
      <c r="AE184" s="14"/>
      <c r="AF184" s="14"/>
      <c r="AG184" s="14"/>
      <c r="AH184" s="18" t="str">
        <f aca="false">IF(AND(AC184="Sold",AE184&lt;&gt;"",AF184&lt;&gt;""),AE184-AF184,"")</f>
        <v/>
      </c>
      <c r="AI184" s="18" t="str">
        <f aca="false">IF(AND(AC184="Sold",AF184&lt;&gt;"",X184&lt;&gt;""),AF184-N(AG184)-X184,"")</f>
        <v/>
      </c>
      <c r="AJ184" s="20" t="str">
        <f aca="false">IF(AND(AI184&lt;&gt;"",N(AE184)&gt;0),AI184/AE184,"")</f>
        <v/>
      </c>
      <c r="AK184" s="20" t="str">
        <f aca="false">IF(AND(AI184&lt;&gt;"",N(X184)&gt;0),AI184/X184,"")</f>
        <v/>
      </c>
      <c r="AL184" s="21" t="str">
        <f aca="false">IF(AND(AC184="Sold",AD184&lt;&gt;"",Z184&lt;&gt;""),AD184-Z184,"")</f>
        <v/>
      </c>
      <c r="AM184" s="20" t="str">
        <f aca="false">IF(AND(AC184="Sold",N(AA184)&gt;0,AE184&lt;&gt;""),1-AE184/AA184,"")</f>
        <v/>
      </c>
      <c r="AN184" s="21" t="str">
        <f aca="true">IF(AND(AC184&lt;&gt;"Sold",AC184&lt;&gt;"",Z184&lt;&gt;""),TODAY()-Z184,"")</f>
        <v/>
      </c>
      <c r="AO184" s="4"/>
      <c r="AP184" s="4"/>
    </row>
    <row r="185" customFormat="false" ht="1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14"/>
      <c r="O185" s="15"/>
      <c r="P185" s="16"/>
      <c r="Q185" s="4"/>
      <c r="R185" s="17"/>
      <c r="S185" s="18" t="str">
        <f aca="false">IF(OR(P185="",R185=""),"",P185*R185)</f>
        <v/>
      </c>
      <c r="T185" s="14"/>
      <c r="U185" s="14"/>
      <c r="V185" s="14"/>
      <c r="W185" s="14"/>
      <c r="X185" s="18" t="str">
        <f aca="false">IF(S185="","",S185+N(T185)+N(U185)+N(V185)+N(W185))</f>
        <v/>
      </c>
      <c r="Y185" s="4"/>
      <c r="Z185" s="15"/>
      <c r="AA185" s="14"/>
      <c r="AB185" s="19"/>
      <c r="AC185" s="4"/>
      <c r="AD185" s="15"/>
      <c r="AE185" s="14"/>
      <c r="AF185" s="14"/>
      <c r="AG185" s="14"/>
      <c r="AH185" s="18" t="str">
        <f aca="false">IF(AND(AC185="Sold",AE185&lt;&gt;"",AF185&lt;&gt;""),AE185-AF185,"")</f>
        <v/>
      </c>
      <c r="AI185" s="18" t="str">
        <f aca="false">IF(AND(AC185="Sold",AF185&lt;&gt;"",X185&lt;&gt;""),AF185-N(AG185)-X185,"")</f>
        <v/>
      </c>
      <c r="AJ185" s="20" t="str">
        <f aca="false">IF(AND(AI185&lt;&gt;"",N(AE185)&gt;0),AI185/AE185,"")</f>
        <v/>
      </c>
      <c r="AK185" s="20" t="str">
        <f aca="false">IF(AND(AI185&lt;&gt;"",N(X185)&gt;0),AI185/X185,"")</f>
        <v/>
      </c>
      <c r="AL185" s="21" t="str">
        <f aca="false">IF(AND(AC185="Sold",AD185&lt;&gt;"",Z185&lt;&gt;""),AD185-Z185,"")</f>
        <v/>
      </c>
      <c r="AM185" s="20" t="str">
        <f aca="false">IF(AND(AC185="Sold",N(AA185)&gt;0,AE185&lt;&gt;""),1-AE185/AA185,"")</f>
        <v/>
      </c>
      <c r="AN185" s="21" t="str">
        <f aca="true">IF(AND(AC185&lt;&gt;"Sold",AC185&lt;&gt;"",Z185&lt;&gt;""),TODAY()-Z185,"")</f>
        <v/>
      </c>
      <c r="AO185" s="4"/>
      <c r="AP185" s="4"/>
    </row>
    <row r="186" customFormat="false" ht="1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14"/>
      <c r="O186" s="15"/>
      <c r="P186" s="16"/>
      <c r="Q186" s="4"/>
      <c r="R186" s="17"/>
      <c r="S186" s="18" t="str">
        <f aca="false">IF(OR(P186="",R186=""),"",P186*R186)</f>
        <v/>
      </c>
      <c r="T186" s="14"/>
      <c r="U186" s="14"/>
      <c r="V186" s="14"/>
      <c r="W186" s="14"/>
      <c r="X186" s="18" t="str">
        <f aca="false">IF(S186="","",S186+N(T186)+N(U186)+N(V186)+N(W186))</f>
        <v/>
      </c>
      <c r="Y186" s="4"/>
      <c r="Z186" s="15"/>
      <c r="AA186" s="14"/>
      <c r="AB186" s="19"/>
      <c r="AC186" s="4"/>
      <c r="AD186" s="15"/>
      <c r="AE186" s="14"/>
      <c r="AF186" s="14"/>
      <c r="AG186" s="14"/>
      <c r="AH186" s="18" t="str">
        <f aca="false">IF(AND(AC186="Sold",AE186&lt;&gt;"",AF186&lt;&gt;""),AE186-AF186,"")</f>
        <v/>
      </c>
      <c r="AI186" s="18" t="str">
        <f aca="false">IF(AND(AC186="Sold",AF186&lt;&gt;"",X186&lt;&gt;""),AF186-N(AG186)-X186,"")</f>
        <v/>
      </c>
      <c r="AJ186" s="20" t="str">
        <f aca="false">IF(AND(AI186&lt;&gt;"",N(AE186)&gt;0),AI186/AE186,"")</f>
        <v/>
      </c>
      <c r="AK186" s="20" t="str">
        <f aca="false">IF(AND(AI186&lt;&gt;"",N(X186)&gt;0),AI186/X186,"")</f>
        <v/>
      </c>
      <c r="AL186" s="21" t="str">
        <f aca="false">IF(AND(AC186="Sold",AD186&lt;&gt;"",Z186&lt;&gt;""),AD186-Z186,"")</f>
        <v/>
      </c>
      <c r="AM186" s="20" t="str">
        <f aca="false">IF(AND(AC186="Sold",N(AA186)&gt;0,AE186&lt;&gt;""),1-AE186/AA186,"")</f>
        <v/>
      </c>
      <c r="AN186" s="21" t="str">
        <f aca="true">IF(AND(AC186&lt;&gt;"Sold",AC186&lt;&gt;"",Z186&lt;&gt;""),TODAY()-Z186,"")</f>
        <v/>
      </c>
      <c r="AO186" s="4"/>
      <c r="AP186" s="4"/>
    </row>
    <row r="187" customFormat="false" ht="1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14"/>
      <c r="O187" s="15"/>
      <c r="P187" s="16"/>
      <c r="Q187" s="4"/>
      <c r="R187" s="17"/>
      <c r="S187" s="18" t="str">
        <f aca="false">IF(OR(P187="",R187=""),"",P187*R187)</f>
        <v/>
      </c>
      <c r="T187" s="14"/>
      <c r="U187" s="14"/>
      <c r="V187" s="14"/>
      <c r="W187" s="14"/>
      <c r="X187" s="18" t="str">
        <f aca="false">IF(S187="","",S187+N(T187)+N(U187)+N(V187)+N(W187))</f>
        <v/>
      </c>
      <c r="Y187" s="4"/>
      <c r="Z187" s="15"/>
      <c r="AA187" s="14"/>
      <c r="AB187" s="19"/>
      <c r="AC187" s="4"/>
      <c r="AD187" s="15"/>
      <c r="AE187" s="14"/>
      <c r="AF187" s="14"/>
      <c r="AG187" s="14"/>
      <c r="AH187" s="18" t="str">
        <f aca="false">IF(AND(AC187="Sold",AE187&lt;&gt;"",AF187&lt;&gt;""),AE187-AF187,"")</f>
        <v/>
      </c>
      <c r="AI187" s="18" t="str">
        <f aca="false">IF(AND(AC187="Sold",AF187&lt;&gt;"",X187&lt;&gt;""),AF187-N(AG187)-X187,"")</f>
        <v/>
      </c>
      <c r="AJ187" s="20" t="str">
        <f aca="false">IF(AND(AI187&lt;&gt;"",N(AE187)&gt;0),AI187/AE187,"")</f>
        <v/>
      </c>
      <c r="AK187" s="20" t="str">
        <f aca="false">IF(AND(AI187&lt;&gt;"",N(X187)&gt;0),AI187/X187,"")</f>
        <v/>
      </c>
      <c r="AL187" s="21" t="str">
        <f aca="false">IF(AND(AC187="Sold",AD187&lt;&gt;"",Z187&lt;&gt;""),AD187-Z187,"")</f>
        <v/>
      </c>
      <c r="AM187" s="20" t="str">
        <f aca="false">IF(AND(AC187="Sold",N(AA187)&gt;0,AE187&lt;&gt;""),1-AE187/AA187,"")</f>
        <v/>
      </c>
      <c r="AN187" s="21" t="str">
        <f aca="true">IF(AND(AC187&lt;&gt;"Sold",AC187&lt;&gt;"",Z187&lt;&gt;""),TODAY()-Z187,"")</f>
        <v/>
      </c>
      <c r="AO187" s="4"/>
      <c r="AP187" s="4"/>
    </row>
    <row r="188" customFormat="false" ht="1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4"/>
      <c r="O188" s="15"/>
      <c r="P188" s="16"/>
      <c r="Q188" s="4"/>
      <c r="R188" s="17"/>
      <c r="S188" s="18" t="str">
        <f aca="false">IF(OR(P188="",R188=""),"",P188*R188)</f>
        <v/>
      </c>
      <c r="T188" s="14"/>
      <c r="U188" s="14"/>
      <c r="V188" s="14"/>
      <c r="W188" s="14"/>
      <c r="X188" s="18" t="str">
        <f aca="false">IF(S188="","",S188+N(T188)+N(U188)+N(V188)+N(W188))</f>
        <v/>
      </c>
      <c r="Y188" s="4"/>
      <c r="Z188" s="15"/>
      <c r="AA188" s="14"/>
      <c r="AB188" s="19"/>
      <c r="AC188" s="4"/>
      <c r="AD188" s="15"/>
      <c r="AE188" s="14"/>
      <c r="AF188" s="14"/>
      <c r="AG188" s="14"/>
      <c r="AH188" s="18" t="str">
        <f aca="false">IF(AND(AC188="Sold",AE188&lt;&gt;"",AF188&lt;&gt;""),AE188-AF188,"")</f>
        <v/>
      </c>
      <c r="AI188" s="18" t="str">
        <f aca="false">IF(AND(AC188="Sold",AF188&lt;&gt;"",X188&lt;&gt;""),AF188-N(AG188)-X188,"")</f>
        <v/>
      </c>
      <c r="AJ188" s="20" t="str">
        <f aca="false">IF(AND(AI188&lt;&gt;"",N(AE188)&gt;0),AI188/AE188,"")</f>
        <v/>
      </c>
      <c r="AK188" s="20" t="str">
        <f aca="false">IF(AND(AI188&lt;&gt;"",N(X188)&gt;0),AI188/X188,"")</f>
        <v/>
      </c>
      <c r="AL188" s="21" t="str">
        <f aca="false">IF(AND(AC188="Sold",AD188&lt;&gt;"",Z188&lt;&gt;""),AD188-Z188,"")</f>
        <v/>
      </c>
      <c r="AM188" s="20" t="str">
        <f aca="false">IF(AND(AC188="Sold",N(AA188)&gt;0,AE188&lt;&gt;""),1-AE188/AA188,"")</f>
        <v/>
      </c>
      <c r="AN188" s="21" t="str">
        <f aca="true">IF(AND(AC188&lt;&gt;"Sold",AC188&lt;&gt;"",Z188&lt;&gt;""),TODAY()-Z188,"")</f>
        <v/>
      </c>
      <c r="AO188" s="4"/>
      <c r="AP188" s="4"/>
    </row>
    <row r="189" customFormat="false" ht="1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4"/>
      <c r="O189" s="15"/>
      <c r="P189" s="16"/>
      <c r="Q189" s="4"/>
      <c r="R189" s="17"/>
      <c r="S189" s="18" t="str">
        <f aca="false">IF(OR(P189="",R189=""),"",P189*R189)</f>
        <v/>
      </c>
      <c r="T189" s="14"/>
      <c r="U189" s="14"/>
      <c r="V189" s="14"/>
      <c r="W189" s="14"/>
      <c r="X189" s="18" t="str">
        <f aca="false">IF(S189="","",S189+N(T189)+N(U189)+N(V189)+N(W189))</f>
        <v/>
      </c>
      <c r="Y189" s="4"/>
      <c r="Z189" s="15"/>
      <c r="AA189" s="14"/>
      <c r="AB189" s="19"/>
      <c r="AC189" s="4"/>
      <c r="AD189" s="15"/>
      <c r="AE189" s="14"/>
      <c r="AF189" s="14"/>
      <c r="AG189" s="14"/>
      <c r="AH189" s="18" t="str">
        <f aca="false">IF(AND(AC189="Sold",AE189&lt;&gt;"",AF189&lt;&gt;""),AE189-AF189,"")</f>
        <v/>
      </c>
      <c r="AI189" s="18" t="str">
        <f aca="false">IF(AND(AC189="Sold",AF189&lt;&gt;"",X189&lt;&gt;""),AF189-N(AG189)-X189,"")</f>
        <v/>
      </c>
      <c r="AJ189" s="20" t="str">
        <f aca="false">IF(AND(AI189&lt;&gt;"",N(AE189)&gt;0),AI189/AE189,"")</f>
        <v/>
      </c>
      <c r="AK189" s="20" t="str">
        <f aca="false">IF(AND(AI189&lt;&gt;"",N(X189)&gt;0),AI189/X189,"")</f>
        <v/>
      </c>
      <c r="AL189" s="21" t="str">
        <f aca="false">IF(AND(AC189="Sold",AD189&lt;&gt;"",Z189&lt;&gt;""),AD189-Z189,"")</f>
        <v/>
      </c>
      <c r="AM189" s="20" t="str">
        <f aca="false">IF(AND(AC189="Sold",N(AA189)&gt;0,AE189&lt;&gt;""),1-AE189/AA189,"")</f>
        <v/>
      </c>
      <c r="AN189" s="21" t="str">
        <f aca="true">IF(AND(AC189&lt;&gt;"Sold",AC189&lt;&gt;"",Z189&lt;&gt;""),TODAY()-Z189,"")</f>
        <v/>
      </c>
      <c r="AO189" s="4"/>
      <c r="AP189" s="4"/>
    </row>
    <row r="190" customFormat="false" ht="1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4"/>
      <c r="O190" s="15"/>
      <c r="P190" s="16"/>
      <c r="Q190" s="4"/>
      <c r="R190" s="17"/>
      <c r="S190" s="18" t="str">
        <f aca="false">IF(OR(P190="",R190=""),"",P190*R190)</f>
        <v/>
      </c>
      <c r="T190" s="14"/>
      <c r="U190" s="14"/>
      <c r="V190" s="14"/>
      <c r="W190" s="14"/>
      <c r="X190" s="18" t="str">
        <f aca="false">IF(S190="","",S190+N(T190)+N(U190)+N(V190)+N(W190))</f>
        <v/>
      </c>
      <c r="Y190" s="4"/>
      <c r="Z190" s="15"/>
      <c r="AA190" s="14"/>
      <c r="AB190" s="19"/>
      <c r="AC190" s="4"/>
      <c r="AD190" s="15"/>
      <c r="AE190" s="14"/>
      <c r="AF190" s="14"/>
      <c r="AG190" s="14"/>
      <c r="AH190" s="18" t="str">
        <f aca="false">IF(AND(AC190="Sold",AE190&lt;&gt;"",AF190&lt;&gt;""),AE190-AF190,"")</f>
        <v/>
      </c>
      <c r="AI190" s="18" t="str">
        <f aca="false">IF(AND(AC190="Sold",AF190&lt;&gt;"",X190&lt;&gt;""),AF190-N(AG190)-X190,"")</f>
        <v/>
      </c>
      <c r="AJ190" s="20" t="str">
        <f aca="false">IF(AND(AI190&lt;&gt;"",N(AE190)&gt;0),AI190/AE190,"")</f>
        <v/>
      </c>
      <c r="AK190" s="20" t="str">
        <f aca="false">IF(AND(AI190&lt;&gt;"",N(X190)&gt;0),AI190/X190,"")</f>
        <v/>
      </c>
      <c r="AL190" s="21" t="str">
        <f aca="false">IF(AND(AC190="Sold",AD190&lt;&gt;"",Z190&lt;&gt;""),AD190-Z190,"")</f>
        <v/>
      </c>
      <c r="AM190" s="20" t="str">
        <f aca="false">IF(AND(AC190="Sold",N(AA190)&gt;0,AE190&lt;&gt;""),1-AE190/AA190,"")</f>
        <v/>
      </c>
      <c r="AN190" s="21" t="str">
        <f aca="true">IF(AND(AC190&lt;&gt;"Sold",AC190&lt;&gt;"",Z190&lt;&gt;""),TODAY()-Z190,"")</f>
        <v/>
      </c>
      <c r="AO190" s="4"/>
      <c r="AP190" s="4"/>
    </row>
    <row r="191" customFormat="false" ht="1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4"/>
      <c r="O191" s="15"/>
      <c r="P191" s="16"/>
      <c r="Q191" s="4"/>
      <c r="R191" s="17"/>
      <c r="S191" s="18" t="str">
        <f aca="false">IF(OR(P191="",R191=""),"",P191*R191)</f>
        <v/>
      </c>
      <c r="T191" s="14"/>
      <c r="U191" s="14"/>
      <c r="V191" s="14"/>
      <c r="W191" s="14"/>
      <c r="X191" s="18" t="str">
        <f aca="false">IF(S191="","",S191+N(T191)+N(U191)+N(V191)+N(W191))</f>
        <v/>
      </c>
      <c r="Y191" s="4"/>
      <c r="Z191" s="15"/>
      <c r="AA191" s="14"/>
      <c r="AB191" s="19"/>
      <c r="AC191" s="4"/>
      <c r="AD191" s="15"/>
      <c r="AE191" s="14"/>
      <c r="AF191" s="14"/>
      <c r="AG191" s="14"/>
      <c r="AH191" s="18" t="str">
        <f aca="false">IF(AND(AC191="Sold",AE191&lt;&gt;"",AF191&lt;&gt;""),AE191-AF191,"")</f>
        <v/>
      </c>
      <c r="AI191" s="18" t="str">
        <f aca="false">IF(AND(AC191="Sold",AF191&lt;&gt;"",X191&lt;&gt;""),AF191-N(AG191)-X191,"")</f>
        <v/>
      </c>
      <c r="AJ191" s="20" t="str">
        <f aca="false">IF(AND(AI191&lt;&gt;"",N(AE191)&gt;0),AI191/AE191,"")</f>
        <v/>
      </c>
      <c r="AK191" s="20" t="str">
        <f aca="false">IF(AND(AI191&lt;&gt;"",N(X191)&gt;0),AI191/X191,"")</f>
        <v/>
      </c>
      <c r="AL191" s="21" t="str">
        <f aca="false">IF(AND(AC191="Sold",AD191&lt;&gt;"",Z191&lt;&gt;""),AD191-Z191,"")</f>
        <v/>
      </c>
      <c r="AM191" s="20" t="str">
        <f aca="false">IF(AND(AC191="Sold",N(AA191)&gt;0,AE191&lt;&gt;""),1-AE191/AA191,"")</f>
        <v/>
      </c>
      <c r="AN191" s="21" t="str">
        <f aca="true">IF(AND(AC191&lt;&gt;"Sold",AC191&lt;&gt;"",Z191&lt;&gt;""),TODAY()-Z191,"")</f>
        <v/>
      </c>
      <c r="AO191" s="4"/>
      <c r="AP191" s="4"/>
    </row>
    <row r="192" customFormat="false" ht="1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4"/>
      <c r="O192" s="15"/>
      <c r="P192" s="16"/>
      <c r="Q192" s="4"/>
      <c r="R192" s="17"/>
      <c r="S192" s="18" t="str">
        <f aca="false">IF(OR(P192="",R192=""),"",P192*R192)</f>
        <v/>
      </c>
      <c r="T192" s="14"/>
      <c r="U192" s="14"/>
      <c r="V192" s="14"/>
      <c r="W192" s="14"/>
      <c r="X192" s="18" t="str">
        <f aca="false">IF(S192="","",S192+N(T192)+N(U192)+N(V192)+N(W192))</f>
        <v/>
      </c>
      <c r="Y192" s="4"/>
      <c r="Z192" s="15"/>
      <c r="AA192" s="14"/>
      <c r="AB192" s="19"/>
      <c r="AC192" s="4"/>
      <c r="AD192" s="15"/>
      <c r="AE192" s="14"/>
      <c r="AF192" s="14"/>
      <c r="AG192" s="14"/>
      <c r="AH192" s="18" t="str">
        <f aca="false">IF(AND(AC192="Sold",AE192&lt;&gt;"",AF192&lt;&gt;""),AE192-AF192,"")</f>
        <v/>
      </c>
      <c r="AI192" s="18" t="str">
        <f aca="false">IF(AND(AC192="Sold",AF192&lt;&gt;"",X192&lt;&gt;""),AF192-N(AG192)-X192,"")</f>
        <v/>
      </c>
      <c r="AJ192" s="20" t="str">
        <f aca="false">IF(AND(AI192&lt;&gt;"",N(AE192)&gt;0),AI192/AE192,"")</f>
        <v/>
      </c>
      <c r="AK192" s="20" t="str">
        <f aca="false">IF(AND(AI192&lt;&gt;"",N(X192)&gt;0),AI192/X192,"")</f>
        <v/>
      </c>
      <c r="AL192" s="21" t="str">
        <f aca="false">IF(AND(AC192="Sold",AD192&lt;&gt;"",Z192&lt;&gt;""),AD192-Z192,"")</f>
        <v/>
      </c>
      <c r="AM192" s="20" t="str">
        <f aca="false">IF(AND(AC192="Sold",N(AA192)&gt;0,AE192&lt;&gt;""),1-AE192/AA192,"")</f>
        <v/>
      </c>
      <c r="AN192" s="21" t="str">
        <f aca="true">IF(AND(AC192&lt;&gt;"Sold",AC192&lt;&gt;"",Z192&lt;&gt;""),TODAY()-Z192,"")</f>
        <v/>
      </c>
      <c r="AO192" s="4"/>
      <c r="AP192" s="4"/>
    </row>
    <row r="193" customFormat="false" ht="1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14"/>
      <c r="O193" s="15"/>
      <c r="P193" s="16"/>
      <c r="Q193" s="4"/>
      <c r="R193" s="17"/>
      <c r="S193" s="18" t="str">
        <f aca="false">IF(OR(P193="",R193=""),"",P193*R193)</f>
        <v/>
      </c>
      <c r="T193" s="14"/>
      <c r="U193" s="14"/>
      <c r="V193" s="14"/>
      <c r="W193" s="14"/>
      <c r="X193" s="18" t="str">
        <f aca="false">IF(S193="","",S193+N(T193)+N(U193)+N(V193)+N(W193))</f>
        <v/>
      </c>
      <c r="Y193" s="4"/>
      <c r="Z193" s="15"/>
      <c r="AA193" s="14"/>
      <c r="AB193" s="19"/>
      <c r="AC193" s="4"/>
      <c r="AD193" s="15"/>
      <c r="AE193" s="14"/>
      <c r="AF193" s="14"/>
      <c r="AG193" s="14"/>
      <c r="AH193" s="18" t="str">
        <f aca="false">IF(AND(AC193="Sold",AE193&lt;&gt;"",AF193&lt;&gt;""),AE193-AF193,"")</f>
        <v/>
      </c>
      <c r="AI193" s="18" t="str">
        <f aca="false">IF(AND(AC193="Sold",AF193&lt;&gt;"",X193&lt;&gt;""),AF193-N(AG193)-X193,"")</f>
        <v/>
      </c>
      <c r="AJ193" s="20" t="str">
        <f aca="false">IF(AND(AI193&lt;&gt;"",N(AE193)&gt;0),AI193/AE193,"")</f>
        <v/>
      </c>
      <c r="AK193" s="20" t="str">
        <f aca="false">IF(AND(AI193&lt;&gt;"",N(X193)&gt;0),AI193/X193,"")</f>
        <v/>
      </c>
      <c r="AL193" s="21" t="str">
        <f aca="false">IF(AND(AC193="Sold",AD193&lt;&gt;"",Z193&lt;&gt;""),AD193-Z193,"")</f>
        <v/>
      </c>
      <c r="AM193" s="20" t="str">
        <f aca="false">IF(AND(AC193="Sold",N(AA193)&gt;0,AE193&lt;&gt;""),1-AE193/AA193,"")</f>
        <v/>
      </c>
      <c r="AN193" s="21" t="str">
        <f aca="true">IF(AND(AC193&lt;&gt;"Sold",AC193&lt;&gt;"",Z193&lt;&gt;""),TODAY()-Z193,"")</f>
        <v/>
      </c>
      <c r="AO193" s="4"/>
      <c r="AP193" s="4"/>
    </row>
    <row r="194" customFormat="false" ht="1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14"/>
      <c r="O194" s="15"/>
      <c r="P194" s="16"/>
      <c r="Q194" s="4"/>
      <c r="R194" s="17"/>
      <c r="S194" s="18" t="str">
        <f aca="false">IF(OR(P194="",R194=""),"",P194*R194)</f>
        <v/>
      </c>
      <c r="T194" s="14"/>
      <c r="U194" s="14"/>
      <c r="V194" s="14"/>
      <c r="W194" s="14"/>
      <c r="X194" s="18" t="str">
        <f aca="false">IF(S194="","",S194+N(T194)+N(U194)+N(V194)+N(W194))</f>
        <v/>
      </c>
      <c r="Y194" s="4"/>
      <c r="Z194" s="15"/>
      <c r="AA194" s="14"/>
      <c r="AB194" s="19"/>
      <c r="AC194" s="4"/>
      <c r="AD194" s="15"/>
      <c r="AE194" s="14"/>
      <c r="AF194" s="14"/>
      <c r="AG194" s="14"/>
      <c r="AH194" s="18" t="str">
        <f aca="false">IF(AND(AC194="Sold",AE194&lt;&gt;"",AF194&lt;&gt;""),AE194-AF194,"")</f>
        <v/>
      </c>
      <c r="AI194" s="18" t="str">
        <f aca="false">IF(AND(AC194="Sold",AF194&lt;&gt;"",X194&lt;&gt;""),AF194-N(AG194)-X194,"")</f>
        <v/>
      </c>
      <c r="AJ194" s="20" t="str">
        <f aca="false">IF(AND(AI194&lt;&gt;"",N(AE194)&gt;0),AI194/AE194,"")</f>
        <v/>
      </c>
      <c r="AK194" s="20" t="str">
        <f aca="false">IF(AND(AI194&lt;&gt;"",N(X194)&gt;0),AI194/X194,"")</f>
        <v/>
      </c>
      <c r="AL194" s="21" t="str">
        <f aca="false">IF(AND(AC194="Sold",AD194&lt;&gt;"",Z194&lt;&gt;""),AD194-Z194,"")</f>
        <v/>
      </c>
      <c r="AM194" s="20" t="str">
        <f aca="false">IF(AND(AC194="Sold",N(AA194)&gt;0,AE194&lt;&gt;""),1-AE194/AA194,"")</f>
        <v/>
      </c>
      <c r="AN194" s="21" t="str">
        <f aca="true">IF(AND(AC194&lt;&gt;"Sold",AC194&lt;&gt;"",Z194&lt;&gt;""),TODAY()-Z194,"")</f>
        <v/>
      </c>
      <c r="AO194" s="4"/>
      <c r="AP194" s="4"/>
    </row>
    <row r="195" customFormat="false" ht="1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14"/>
      <c r="O195" s="15"/>
      <c r="P195" s="16"/>
      <c r="Q195" s="4"/>
      <c r="R195" s="17"/>
      <c r="S195" s="18" t="str">
        <f aca="false">IF(OR(P195="",R195=""),"",P195*R195)</f>
        <v/>
      </c>
      <c r="T195" s="14"/>
      <c r="U195" s="14"/>
      <c r="V195" s="14"/>
      <c r="W195" s="14"/>
      <c r="X195" s="18" t="str">
        <f aca="false">IF(S195="","",S195+N(T195)+N(U195)+N(V195)+N(W195))</f>
        <v/>
      </c>
      <c r="Y195" s="4"/>
      <c r="Z195" s="15"/>
      <c r="AA195" s="14"/>
      <c r="AB195" s="19"/>
      <c r="AC195" s="4"/>
      <c r="AD195" s="15"/>
      <c r="AE195" s="14"/>
      <c r="AF195" s="14"/>
      <c r="AG195" s="14"/>
      <c r="AH195" s="18" t="str">
        <f aca="false">IF(AND(AC195="Sold",AE195&lt;&gt;"",AF195&lt;&gt;""),AE195-AF195,"")</f>
        <v/>
      </c>
      <c r="AI195" s="18" t="str">
        <f aca="false">IF(AND(AC195="Sold",AF195&lt;&gt;"",X195&lt;&gt;""),AF195-N(AG195)-X195,"")</f>
        <v/>
      </c>
      <c r="AJ195" s="20" t="str">
        <f aca="false">IF(AND(AI195&lt;&gt;"",N(AE195)&gt;0),AI195/AE195,"")</f>
        <v/>
      </c>
      <c r="AK195" s="20" t="str">
        <f aca="false">IF(AND(AI195&lt;&gt;"",N(X195)&gt;0),AI195/X195,"")</f>
        <v/>
      </c>
      <c r="AL195" s="21" t="str">
        <f aca="false">IF(AND(AC195="Sold",AD195&lt;&gt;"",Z195&lt;&gt;""),AD195-Z195,"")</f>
        <v/>
      </c>
      <c r="AM195" s="20" t="str">
        <f aca="false">IF(AND(AC195="Sold",N(AA195)&gt;0,AE195&lt;&gt;""),1-AE195/AA195,"")</f>
        <v/>
      </c>
      <c r="AN195" s="21" t="str">
        <f aca="true">IF(AND(AC195&lt;&gt;"Sold",AC195&lt;&gt;"",Z195&lt;&gt;""),TODAY()-Z195,"")</f>
        <v/>
      </c>
      <c r="AO195" s="4"/>
      <c r="AP195" s="4"/>
    </row>
    <row r="196" customFormat="false" ht="1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14"/>
      <c r="O196" s="15"/>
      <c r="P196" s="16"/>
      <c r="Q196" s="4"/>
      <c r="R196" s="17"/>
      <c r="S196" s="18" t="str">
        <f aca="false">IF(OR(P196="",R196=""),"",P196*R196)</f>
        <v/>
      </c>
      <c r="T196" s="14"/>
      <c r="U196" s="14"/>
      <c r="V196" s="14"/>
      <c r="W196" s="14"/>
      <c r="X196" s="18" t="str">
        <f aca="false">IF(S196="","",S196+N(T196)+N(U196)+N(V196)+N(W196))</f>
        <v/>
      </c>
      <c r="Y196" s="4"/>
      <c r="Z196" s="15"/>
      <c r="AA196" s="14"/>
      <c r="AB196" s="19"/>
      <c r="AC196" s="4"/>
      <c r="AD196" s="15"/>
      <c r="AE196" s="14"/>
      <c r="AF196" s="14"/>
      <c r="AG196" s="14"/>
      <c r="AH196" s="18" t="str">
        <f aca="false">IF(AND(AC196="Sold",AE196&lt;&gt;"",AF196&lt;&gt;""),AE196-AF196,"")</f>
        <v/>
      </c>
      <c r="AI196" s="18" t="str">
        <f aca="false">IF(AND(AC196="Sold",AF196&lt;&gt;"",X196&lt;&gt;""),AF196-N(AG196)-X196,"")</f>
        <v/>
      </c>
      <c r="AJ196" s="20" t="str">
        <f aca="false">IF(AND(AI196&lt;&gt;"",N(AE196)&gt;0),AI196/AE196,"")</f>
        <v/>
      </c>
      <c r="AK196" s="20" t="str">
        <f aca="false">IF(AND(AI196&lt;&gt;"",N(X196)&gt;0),AI196/X196,"")</f>
        <v/>
      </c>
      <c r="AL196" s="21" t="str">
        <f aca="false">IF(AND(AC196="Sold",AD196&lt;&gt;"",Z196&lt;&gt;""),AD196-Z196,"")</f>
        <v/>
      </c>
      <c r="AM196" s="20" t="str">
        <f aca="false">IF(AND(AC196="Sold",N(AA196)&gt;0,AE196&lt;&gt;""),1-AE196/AA196,"")</f>
        <v/>
      </c>
      <c r="AN196" s="21" t="str">
        <f aca="true">IF(AND(AC196&lt;&gt;"Sold",AC196&lt;&gt;"",Z196&lt;&gt;""),TODAY()-Z196,"")</f>
        <v/>
      </c>
      <c r="AO196" s="4"/>
      <c r="AP196" s="4"/>
    </row>
    <row r="197" customFormat="false" ht="1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14"/>
      <c r="O197" s="15"/>
      <c r="P197" s="16"/>
      <c r="Q197" s="4"/>
      <c r="R197" s="17"/>
      <c r="S197" s="18" t="str">
        <f aca="false">IF(OR(P197="",R197=""),"",P197*R197)</f>
        <v/>
      </c>
      <c r="T197" s="14"/>
      <c r="U197" s="14"/>
      <c r="V197" s="14"/>
      <c r="W197" s="14"/>
      <c r="X197" s="18" t="str">
        <f aca="false">IF(S197="","",S197+N(T197)+N(U197)+N(V197)+N(W197))</f>
        <v/>
      </c>
      <c r="Y197" s="4"/>
      <c r="Z197" s="15"/>
      <c r="AA197" s="14"/>
      <c r="AB197" s="19"/>
      <c r="AC197" s="4"/>
      <c r="AD197" s="15"/>
      <c r="AE197" s="14"/>
      <c r="AF197" s="14"/>
      <c r="AG197" s="14"/>
      <c r="AH197" s="18" t="str">
        <f aca="false">IF(AND(AC197="Sold",AE197&lt;&gt;"",AF197&lt;&gt;""),AE197-AF197,"")</f>
        <v/>
      </c>
      <c r="AI197" s="18" t="str">
        <f aca="false">IF(AND(AC197="Sold",AF197&lt;&gt;"",X197&lt;&gt;""),AF197-N(AG197)-X197,"")</f>
        <v/>
      </c>
      <c r="AJ197" s="20" t="str">
        <f aca="false">IF(AND(AI197&lt;&gt;"",N(AE197)&gt;0),AI197/AE197,"")</f>
        <v/>
      </c>
      <c r="AK197" s="20" t="str">
        <f aca="false">IF(AND(AI197&lt;&gt;"",N(X197)&gt;0),AI197/X197,"")</f>
        <v/>
      </c>
      <c r="AL197" s="21" t="str">
        <f aca="false">IF(AND(AC197="Sold",AD197&lt;&gt;"",Z197&lt;&gt;""),AD197-Z197,"")</f>
        <v/>
      </c>
      <c r="AM197" s="20" t="str">
        <f aca="false">IF(AND(AC197="Sold",N(AA197)&gt;0,AE197&lt;&gt;""),1-AE197/AA197,"")</f>
        <v/>
      </c>
      <c r="AN197" s="21" t="str">
        <f aca="true">IF(AND(AC197&lt;&gt;"Sold",AC197&lt;&gt;"",Z197&lt;&gt;""),TODAY()-Z197,"")</f>
        <v/>
      </c>
      <c r="AO197" s="4"/>
      <c r="AP197" s="4"/>
    </row>
    <row r="198" customFormat="false" ht="1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14"/>
      <c r="O198" s="15"/>
      <c r="P198" s="16"/>
      <c r="Q198" s="4"/>
      <c r="R198" s="17"/>
      <c r="S198" s="18" t="str">
        <f aca="false">IF(OR(P198="",R198=""),"",P198*R198)</f>
        <v/>
      </c>
      <c r="T198" s="14"/>
      <c r="U198" s="14"/>
      <c r="V198" s="14"/>
      <c r="W198" s="14"/>
      <c r="X198" s="18" t="str">
        <f aca="false">IF(S198="","",S198+N(T198)+N(U198)+N(V198)+N(W198))</f>
        <v/>
      </c>
      <c r="Y198" s="4"/>
      <c r="Z198" s="15"/>
      <c r="AA198" s="14"/>
      <c r="AB198" s="19"/>
      <c r="AC198" s="4"/>
      <c r="AD198" s="15"/>
      <c r="AE198" s="14"/>
      <c r="AF198" s="14"/>
      <c r="AG198" s="14"/>
      <c r="AH198" s="18" t="str">
        <f aca="false">IF(AND(AC198="Sold",AE198&lt;&gt;"",AF198&lt;&gt;""),AE198-AF198,"")</f>
        <v/>
      </c>
      <c r="AI198" s="18" t="str">
        <f aca="false">IF(AND(AC198="Sold",AF198&lt;&gt;"",X198&lt;&gt;""),AF198-N(AG198)-X198,"")</f>
        <v/>
      </c>
      <c r="AJ198" s="20" t="str">
        <f aca="false">IF(AND(AI198&lt;&gt;"",N(AE198)&gt;0),AI198/AE198,"")</f>
        <v/>
      </c>
      <c r="AK198" s="20" t="str">
        <f aca="false">IF(AND(AI198&lt;&gt;"",N(X198)&gt;0),AI198/X198,"")</f>
        <v/>
      </c>
      <c r="AL198" s="21" t="str">
        <f aca="false">IF(AND(AC198="Sold",AD198&lt;&gt;"",Z198&lt;&gt;""),AD198-Z198,"")</f>
        <v/>
      </c>
      <c r="AM198" s="20" t="str">
        <f aca="false">IF(AND(AC198="Sold",N(AA198)&gt;0,AE198&lt;&gt;""),1-AE198/AA198,"")</f>
        <v/>
      </c>
      <c r="AN198" s="21" t="str">
        <f aca="true">IF(AND(AC198&lt;&gt;"Sold",AC198&lt;&gt;"",Z198&lt;&gt;""),TODAY()-Z198,"")</f>
        <v/>
      </c>
      <c r="AO198" s="4"/>
      <c r="AP198" s="4"/>
    </row>
    <row r="199" customFormat="false" ht="1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14"/>
      <c r="O199" s="15"/>
      <c r="P199" s="16"/>
      <c r="Q199" s="4"/>
      <c r="R199" s="17"/>
      <c r="S199" s="18" t="str">
        <f aca="false">IF(OR(P199="",R199=""),"",P199*R199)</f>
        <v/>
      </c>
      <c r="T199" s="14"/>
      <c r="U199" s="14"/>
      <c r="V199" s="14"/>
      <c r="W199" s="14"/>
      <c r="X199" s="18" t="str">
        <f aca="false">IF(S199="","",S199+N(T199)+N(U199)+N(V199)+N(W199))</f>
        <v/>
      </c>
      <c r="Y199" s="4"/>
      <c r="Z199" s="15"/>
      <c r="AA199" s="14"/>
      <c r="AB199" s="19"/>
      <c r="AC199" s="4"/>
      <c r="AD199" s="15"/>
      <c r="AE199" s="14"/>
      <c r="AF199" s="14"/>
      <c r="AG199" s="14"/>
      <c r="AH199" s="18" t="str">
        <f aca="false">IF(AND(AC199="Sold",AE199&lt;&gt;"",AF199&lt;&gt;""),AE199-AF199,"")</f>
        <v/>
      </c>
      <c r="AI199" s="18" t="str">
        <f aca="false">IF(AND(AC199="Sold",AF199&lt;&gt;"",X199&lt;&gt;""),AF199-N(AG199)-X199,"")</f>
        <v/>
      </c>
      <c r="AJ199" s="20" t="str">
        <f aca="false">IF(AND(AI199&lt;&gt;"",N(AE199)&gt;0),AI199/AE199,"")</f>
        <v/>
      </c>
      <c r="AK199" s="20" t="str">
        <f aca="false">IF(AND(AI199&lt;&gt;"",N(X199)&gt;0),AI199/X199,"")</f>
        <v/>
      </c>
      <c r="AL199" s="21" t="str">
        <f aca="false">IF(AND(AC199="Sold",AD199&lt;&gt;"",Z199&lt;&gt;""),AD199-Z199,"")</f>
        <v/>
      </c>
      <c r="AM199" s="20" t="str">
        <f aca="false">IF(AND(AC199="Sold",N(AA199)&gt;0,AE199&lt;&gt;""),1-AE199/AA199,"")</f>
        <v/>
      </c>
      <c r="AN199" s="21" t="str">
        <f aca="true">IF(AND(AC199&lt;&gt;"Sold",AC199&lt;&gt;"",Z199&lt;&gt;""),TODAY()-Z199,"")</f>
        <v/>
      </c>
      <c r="AO199" s="4"/>
      <c r="AP199" s="4"/>
    </row>
    <row r="200" customFormat="false" ht="1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14"/>
      <c r="O200" s="15"/>
      <c r="P200" s="16"/>
      <c r="Q200" s="4"/>
      <c r="R200" s="17"/>
      <c r="S200" s="18" t="str">
        <f aca="false">IF(OR(P200="",R200=""),"",P200*R200)</f>
        <v/>
      </c>
      <c r="T200" s="14"/>
      <c r="U200" s="14"/>
      <c r="V200" s="14"/>
      <c r="W200" s="14"/>
      <c r="X200" s="18" t="str">
        <f aca="false">IF(S200="","",S200+N(T200)+N(U200)+N(V200)+N(W200))</f>
        <v/>
      </c>
      <c r="Y200" s="4"/>
      <c r="Z200" s="15"/>
      <c r="AA200" s="14"/>
      <c r="AB200" s="19"/>
      <c r="AC200" s="4"/>
      <c r="AD200" s="15"/>
      <c r="AE200" s="14"/>
      <c r="AF200" s="14"/>
      <c r="AG200" s="14"/>
      <c r="AH200" s="18" t="str">
        <f aca="false">IF(AND(AC200="Sold",AE200&lt;&gt;"",AF200&lt;&gt;""),AE200-AF200,"")</f>
        <v/>
      </c>
      <c r="AI200" s="18" t="str">
        <f aca="false">IF(AND(AC200="Sold",AF200&lt;&gt;"",X200&lt;&gt;""),AF200-N(AG200)-X200,"")</f>
        <v/>
      </c>
      <c r="AJ200" s="20" t="str">
        <f aca="false">IF(AND(AI200&lt;&gt;"",N(AE200)&gt;0),AI200/AE200,"")</f>
        <v/>
      </c>
      <c r="AK200" s="20" t="str">
        <f aca="false">IF(AND(AI200&lt;&gt;"",N(X200)&gt;0),AI200/X200,"")</f>
        <v/>
      </c>
      <c r="AL200" s="21" t="str">
        <f aca="false">IF(AND(AC200="Sold",AD200&lt;&gt;"",Z200&lt;&gt;""),AD200-Z200,"")</f>
        <v/>
      </c>
      <c r="AM200" s="20" t="str">
        <f aca="false">IF(AND(AC200="Sold",N(AA200)&gt;0,AE200&lt;&gt;""),1-AE200/AA200,"")</f>
        <v/>
      </c>
      <c r="AN200" s="21" t="str">
        <f aca="true">IF(AND(AC200&lt;&gt;"Sold",AC200&lt;&gt;"",Z200&lt;&gt;""),TODAY()-Z200,"")</f>
        <v/>
      </c>
      <c r="AO200" s="4"/>
      <c r="AP200" s="4"/>
    </row>
    <row r="201" customFormat="false" ht="1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14"/>
      <c r="O201" s="15"/>
      <c r="P201" s="16"/>
      <c r="Q201" s="4"/>
      <c r="R201" s="17"/>
      <c r="S201" s="18" t="str">
        <f aca="false">IF(OR(P201="",R201=""),"",P201*R201)</f>
        <v/>
      </c>
      <c r="T201" s="14"/>
      <c r="U201" s="14"/>
      <c r="V201" s="14"/>
      <c r="W201" s="14"/>
      <c r="X201" s="18" t="str">
        <f aca="false">IF(S201="","",S201+N(T201)+N(U201)+N(V201)+N(W201))</f>
        <v/>
      </c>
      <c r="Y201" s="4"/>
      <c r="Z201" s="15"/>
      <c r="AA201" s="14"/>
      <c r="AB201" s="19"/>
      <c r="AC201" s="4"/>
      <c r="AD201" s="15"/>
      <c r="AE201" s="14"/>
      <c r="AF201" s="14"/>
      <c r="AG201" s="14"/>
      <c r="AH201" s="18" t="str">
        <f aca="false">IF(AND(AC201="Sold",AE201&lt;&gt;"",AF201&lt;&gt;""),AE201-AF201,"")</f>
        <v/>
      </c>
      <c r="AI201" s="18" t="str">
        <f aca="false">IF(AND(AC201="Sold",AF201&lt;&gt;"",X201&lt;&gt;""),AF201-N(AG201)-X201,"")</f>
        <v/>
      </c>
      <c r="AJ201" s="20" t="str">
        <f aca="false">IF(AND(AI201&lt;&gt;"",N(AE201)&gt;0),AI201/AE201,"")</f>
        <v/>
      </c>
      <c r="AK201" s="20" t="str">
        <f aca="false">IF(AND(AI201&lt;&gt;"",N(X201)&gt;0),AI201/X201,"")</f>
        <v/>
      </c>
      <c r="AL201" s="21" t="str">
        <f aca="false">IF(AND(AC201="Sold",AD201&lt;&gt;"",Z201&lt;&gt;""),AD201-Z201,"")</f>
        <v/>
      </c>
      <c r="AM201" s="20" t="str">
        <f aca="false">IF(AND(AC201="Sold",N(AA201)&gt;0,AE201&lt;&gt;""),1-AE201/AA201,"")</f>
        <v/>
      </c>
      <c r="AN201" s="21" t="str">
        <f aca="true">IF(AND(AC201&lt;&gt;"Sold",AC201&lt;&gt;"",Z201&lt;&gt;""),TODAY()-Z201,"")</f>
        <v/>
      </c>
      <c r="AO201" s="4"/>
      <c r="AP201" s="4"/>
    </row>
    <row r="202" customFormat="false" ht="1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14"/>
      <c r="O202" s="15"/>
      <c r="P202" s="16"/>
      <c r="Q202" s="4"/>
      <c r="R202" s="17"/>
      <c r="S202" s="18" t="str">
        <f aca="false">IF(OR(P202="",R202=""),"",P202*R202)</f>
        <v/>
      </c>
      <c r="T202" s="14"/>
      <c r="U202" s="14"/>
      <c r="V202" s="14"/>
      <c r="W202" s="14"/>
      <c r="X202" s="18" t="str">
        <f aca="false">IF(S202="","",S202+N(T202)+N(U202)+N(V202)+N(W202))</f>
        <v/>
      </c>
      <c r="Y202" s="4"/>
      <c r="Z202" s="15"/>
      <c r="AA202" s="14"/>
      <c r="AB202" s="19"/>
      <c r="AC202" s="4"/>
      <c r="AD202" s="15"/>
      <c r="AE202" s="14"/>
      <c r="AF202" s="14"/>
      <c r="AG202" s="14"/>
      <c r="AH202" s="18" t="str">
        <f aca="false">IF(AND(AC202="Sold",AE202&lt;&gt;"",AF202&lt;&gt;""),AE202-AF202,"")</f>
        <v/>
      </c>
      <c r="AI202" s="18" t="str">
        <f aca="false">IF(AND(AC202="Sold",AF202&lt;&gt;"",X202&lt;&gt;""),AF202-N(AG202)-X202,"")</f>
        <v/>
      </c>
      <c r="AJ202" s="20" t="str">
        <f aca="false">IF(AND(AI202&lt;&gt;"",N(AE202)&gt;0),AI202/AE202,"")</f>
        <v/>
      </c>
      <c r="AK202" s="20" t="str">
        <f aca="false">IF(AND(AI202&lt;&gt;"",N(X202)&gt;0),AI202/X202,"")</f>
        <v/>
      </c>
      <c r="AL202" s="21" t="str">
        <f aca="false">IF(AND(AC202="Sold",AD202&lt;&gt;"",Z202&lt;&gt;""),AD202-Z202,"")</f>
        <v/>
      </c>
      <c r="AM202" s="20" t="str">
        <f aca="false">IF(AND(AC202="Sold",N(AA202)&gt;0,AE202&lt;&gt;""),1-AE202/AA202,"")</f>
        <v/>
      </c>
      <c r="AN202" s="21" t="str">
        <f aca="true">IF(AND(AC202&lt;&gt;"Sold",AC202&lt;&gt;"",Z202&lt;&gt;""),TODAY()-Z202,"")</f>
        <v/>
      </c>
      <c r="AO202" s="4"/>
      <c r="AP202" s="4"/>
    </row>
    <row r="203" customFormat="false" ht="1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14"/>
      <c r="O203" s="15"/>
      <c r="P203" s="16"/>
      <c r="Q203" s="4"/>
      <c r="R203" s="17"/>
      <c r="S203" s="18" t="str">
        <f aca="false">IF(OR(P203="",R203=""),"",P203*R203)</f>
        <v/>
      </c>
      <c r="T203" s="14"/>
      <c r="U203" s="14"/>
      <c r="V203" s="14"/>
      <c r="W203" s="14"/>
      <c r="X203" s="18" t="str">
        <f aca="false">IF(S203="","",S203+N(T203)+N(U203)+N(V203)+N(W203))</f>
        <v/>
      </c>
      <c r="Y203" s="4"/>
      <c r="Z203" s="15"/>
      <c r="AA203" s="14"/>
      <c r="AB203" s="19"/>
      <c r="AC203" s="4"/>
      <c r="AD203" s="15"/>
      <c r="AE203" s="14"/>
      <c r="AF203" s="14"/>
      <c r="AG203" s="14"/>
      <c r="AH203" s="18" t="str">
        <f aca="false">IF(AND(AC203="Sold",AE203&lt;&gt;"",AF203&lt;&gt;""),AE203-AF203,"")</f>
        <v/>
      </c>
      <c r="AI203" s="18" t="str">
        <f aca="false">IF(AND(AC203="Sold",AF203&lt;&gt;"",X203&lt;&gt;""),AF203-N(AG203)-X203,"")</f>
        <v/>
      </c>
      <c r="AJ203" s="20" t="str">
        <f aca="false">IF(AND(AI203&lt;&gt;"",N(AE203)&gt;0),AI203/AE203,"")</f>
        <v/>
      </c>
      <c r="AK203" s="20" t="str">
        <f aca="false">IF(AND(AI203&lt;&gt;"",N(X203)&gt;0),AI203/X203,"")</f>
        <v/>
      </c>
      <c r="AL203" s="21" t="str">
        <f aca="false">IF(AND(AC203="Sold",AD203&lt;&gt;"",Z203&lt;&gt;""),AD203-Z203,"")</f>
        <v/>
      </c>
      <c r="AM203" s="20" t="str">
        <f aca="false">IF(AND(AC203="Sold",N(AA203)&gt;0,AE203&lt;&gt;""),1-AE203/AA203,"")</f>
        <v/>
      </c>
      <c r="AN203" s="21" t="str">
        <f aca="true">IF(AND(AC203&lt;&gt;"Sold",AC203&lt;&gt;"",Z203&lt;&gt;""),TODAY()-Z203,"")</f>
        <v/>
      </c>
      <c r="AO203" s="4"/>
      <c r="AP203" s="4"/>
    </row>
    <row r="204" customFormat="false" ht="1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14"/>
      <c r="O204" s="15"/>
      <c r="P204" s="16"/>
      <c r="Q204" s="4"/>
      <c r="R204" s="17"/>
      <c r="S204" s="18" t="str">
        <f aca="false">IF(OR(P204="",R204=""),"",P204*R204)</f>
        <v/>
      </c>
      <c r="T204" s="14"/>
      <c r="U204" s="14"/>
      <c r="V204" s="14"/>
      <c r="W204" s="14"/>
      <c r="X204" s="18" t="str">
        <f aca="false">IF(S204="","",S204+N(T204)+N(U204)+N(V204)+N(W204))</f>
        <v/>
      </c>
      <c r="Y204" s="4"/>
      <c r="Z204" s="15"/>
      <c r="AA204" s="14"/>
      <c r="AB204" s="19"/>
      <c r="AC204" s="4"/>
      <c r="AD204" s="15"/>
      <c r="AE204" s="14"/>
      <c r="AF204" s="14"/>
      <c r="AG204" s="14"/>
      <c r="AH204" s="18" t="str">
        <f aca="false">IF(AND(AC204="Sold",AE204&lt;&gt;"",AF204&lt;&gt;""),AE204-AF204,"")</f>
        <v/>
      </c>
      <c r="AI204" s="18" t="str">
        <f aca="false">IF(AND(AC204="Sold",AF204&lt;&gt;"",X204&lt;&gt;""),AF204-N(AG204)-X204,"")</f>
        <v/>
      </c>
      <c r="AJ204" s="20" t="str">
        <f aca="false">IF(AND(AI204&lt;&gt;"",N(AE204)&gt;0),AI204/AE204,"")</f>
        <v/>
      </c>
      <c r="AK204" s="20" t="str">
        <f aca="false">IF(AND(AI204&lt;&gt;"",N(X204)&gt;0),AI204/X204,"")</f>
        <v/>
      </c>
      <c r="AL204" s="21" t="str">
        <f aca="false">IF(AND(AC204="Sold",AD204&lt;&gt;"",Z204&lt;&gt;""),AD204-Z204,"")</f>
        <v/>
      </c>
      <c r="AM204" s="20" t="str">
        <f aca="false">IF(AND(AC204="Sold",N(AA204)&gt;0,AE204&lt;&gt;""),1-AE204/AA204,"")</f>
        <v/>
      </c>
      <c r="AN204" s="21" t="str">
        <f aca="true">IF(AND(AC204&lt;&gt;"Sold",AC204&lt;&gt;"",Z204&lt;&gt;""),TODAY()-Z204,"")</f>
        <v/>
      </c>
      <c r="AO204" s="4"/>
      <c r="AP204" s="4"/>
    </row>
    <row r="205" customFormat="false" ht="1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14"/>
      <c r="O205" s="15"/>
      <c r="P205" s="16"/>
      <c r="Q205" s="4"/>
      <c r="R205" s="17"/>
      <c r="S205" s="18" t="str">
        <f aca="false">IF(OR(P205="",R205=""),"",P205*R205)</f>
        <v/>
      </c>
      <c r="T205" s="14"/>
      <c r="U205" s="14"/>
      <c r="V205" s="14"/>
      <c r="W205" s="14"/>
      <c r="X205" s="18" t="str">
        <f aca="false">IF(S205="","",S205+N(T205)+N(U205)+N(V205)+N(W205))</f>
        <v/>
      </c>
      <c r="Y205" s="4"/>
      <c r="Z205" s="15"/>
      <c r="AA205" s="14"/>
      <c r="AB205" s="19"/>
      <c r="AC205" s="4"/>
      <c r="AD205" s="15"/>
      <c r="AE205" s="14"/>
      <c r="AF205" s="14"/>
      <c r="AG205" s="14"/>
      <c r="AH205" s="18" t="str">
        <f aca="false">IF(AND(AC205="Sold",AE205&lt;&gt;"",AF205&lt;&gt;""),AE205-AF205,"")</f>
        <v/>
      </c>
      <c r="AI205" s="18" t="str">
        <f aca="false">IF(AND(AC205="Sold",AF205&lt;&gt;"",X205&lt;&gt;""),AF205-N(AG205)-X205,"")</f>
        <v/>
      </c>
      <c r="AJ205" s="20" t="str">
        <f aca="false">IF(AND(AI205&lt;&gt;"",N(AE205)&gt;0),AI205/AE205,"")</f>
        <v/>
      </c>
      <c r="AK205" s="20" t="str">
        <f aca="false">IF(AND(AI205&lt;&gt;"",N(X205)&gt;0),AI205/X205,"")</f>
        <v/>
      </c>
      <c r="AL205" s="21" t="str">
        <f aca="false">IF(AND(AC205="Sold",AD205&lt;&gt;"",Z205&lt;&gt;""),AD205-Z205,"")</f>
        <v/>
      </c>
      <c r="AM205" s="20" t="str">
        <f aca="false">IF(AND(AC205="Sold",N(AA205)&gt;0,AE205&lt;&gt;""),1-AE205/AA205,"")</f>
        <v/>
      </c>
      <c r="AN205" s="21" t="str">
        <f aca="true">IF(AND(AC205&lt;&gt;"Sold",AC205&lt;&gt;"",Z205&lt;&gt;""),TODAY()-Z205,"")</f>
        <v/>
      </c>
      <c r="AO205" s="4"/>
      <c r="AP205" s="4"/>
    </row>
    <row r="206" customFormat="false" ht="1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14"/>
      <c r="O206" s="15"/>
      <c r="P206" s="16"/>
      <c r="Q206" s="4"/>
      <c r="R206" s="17"/>
      <c r="S206" s="18" t="str">
        <f aca="false">IF(OR(P206="",R206=""),"",P206*R206)</f>
        <v/>
      </c>
      <c r="T206" s="14"/>
      <c r="U206" s="14"/>
      <c r="V206" s="14"/>
      <c r="W206" s="14"/>
      <c r="X206" s="18" t="str">
        <f aca="false">IF(S206="","",S206+N(T206)+N(U206)+N(V206)+N(W206))</f>
        <v/>
      </c>
      <c r="Y206" s="4"/>
      <c r="Z206" s="15"/>
      <c r="AA206" s="14"/>
      <c r="AB206" s="19"/>
      <c r="AC206" s="4"/>
      <c r="AD206" s="15"/>
      <c r="AE206" s="14"/>
      <c r="AF206" s="14"/>
      <c r="AG206" s="14"/>
      <c r="AH206" s="18" t="str">
        <f aca="false">IF(AND(AC206="Sold",AE206&lt;&gt;"",AF206&lt;&gt;""),AE206-AF206,"")</f>
        <v/>
      </c>
      <c r="AI206" s="18" t="str">
        <f aca="false">IF(AND(AC206="Sold",AF206&lt;&gt;"",X206&lt;&gt;""),AF206-N(AG206)-X206,"")</f>
        <v/>
      </c>
      <c r="AJ206" s="20" t="str">
        <f aca="false">IF(AND(AI206&lt;&gt;"",N(AE206)&gt;0),AI206/AE206,"")</f>
        <v/>
      </c>
      <c r="AK206" s="20" t="str">
        <f aca="false">IF(AND(AI206&lt;&gt;"",N(X206)&gt;0),AI206/X206,"")</f>
        <v/>
      </c>
      <c r="AL206" s="21" t="str">
        <f aca="false">IF(AND(AC206="Sold",AD206&lt;&gt;"",Z206&lt;&gt;""),AD206-Z206,"")</f>
        <v/>
      </c>
      <c r="AM206" s="20" t="str">
        <f aca="false">IF(AND(AC206="Sold",N(AA206)&gt;0,AE206&lt;&gt;""),1-AE206/AA206,"")</f>
        <v/>
      </c>
      <c r="AN206" s="21" t="str">
        <f aca="true">IF(AND(AC206&lt;&gt;"Sold",AC206&lt;&gt;"",Z206&lt;&gt;""),TODAY()-Z206,"")</f>
        <v/>
      </c>
      <c r="AO206" s="4"/>
      <c r="AP206" s="4"/>
    </row>
    <row r="207" customFormat="false" ht="1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14"/>
      <c r="O207" s="15"/>
      <c r="P207" s="16"/>
      <c r="Q207" s="4"/>
      <c r="R207" s="17"/>
      <c r="S207" s="18" t="str">
        <f aca="false">IF(OR(P207="",R207=""),"",P207*R207)</f>
        <v/>
      </c>
      <c r="T207" s="14"/>
      <c r="U207" s="14"/>
      <c r="V207" s="14"/>
      <c r="W207" s="14"/>
      <c r="X207" s="18" t="str">
        <f aca="false">IF(S207="","",S207+N(T207)+N(U207)+N(V207)+N(W207))</f>
        <v/>
      </c>
      <c r="Y207" s="4"/>
      <c r="Z207" s="15"/>
      <c r="AA207" s="14"/>
      <c r="AB207" s="19"/>
      <c r="AC207" s="4"/>
      <c r="AD207" s="15"/>
      <c r="AE207" s="14"/>
      <c r="AF207" s="14"/>
      <c r="AG207" s="14"/>
      <c r="AH207" s="18" t="str">
        <f aca="false">IF(AND(AC207="Sold",AE207&lt;&gt;"",AF207&lt;&gt;""),AE207-AF207,"")</f>
        <v/>
      </c>
      <c r="AI207" s="18" t="str">
        <f aca="false">IF(AND(AC207="Sold",AF207&lt;&gt;"",X207&lt;&gt;""),AF207-N(AG207)-X207,"")</f>
        <v/>
      </c>
      <c r="AJ207" s="20" t="str">
        <f aca="false">IF(AND(AI207&lt;&gt;"",N(AE207)&gt;0),AI207/AE207,"")</f>
        <v/>
      </c>
      <c r="AK207" s="20" t="str">
        <f aca="false">IF(AND(AI207&lt;&gt;"",N(X207)&gt;0),AI207/X207,"")</f>
        <v/>
      </c>
      <c r="AL207" s="21" t="str">
        <f aca="false">IF(AND(AC207="Sold",AD207&lt;&gt;"",Z207&lt;&gt;""),AD207-Z207,"")</f>
        <v/>
      </c>
      <c r="AM207" s="20" t="str">
        <f aca="false">IF(AND(AC207="Sold",N(AA207)&gt;0,AE207&lt;&gt;""),1-AE207/AA207,"")</f>
        <v/>
      </c>
      <c r="AN207" s="21" t="str">
        <f aca="true">IF(AND(AC207&lt;&gt;"Sold",AC207&lt;&gt;"",Z207&lt;&gt;""),TODAY()-Z207,"")</f>
        <v/>
      </c>
      <c r="AO207" s="4"/>
      <c r="AP207" s="4"/>
    </row>
    <row r="208" customFormat="false" ht="1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14"/>
      <c r="O208" s="15"/>
      <c r="P208" s="16"/>
      <c r="Q208" s="4"/>
      <c r="R208" s="17"/>
      <c r="S208" s="18" t="str">
        <f aca="false">IF(OR(P208="",R208=""),"",P208*R208)</f>
        <v/>
      </c>
      <c r="T208" s="14"/>
      <c r="U208" s="14"/>
      <c r="V208" s="14"/>
      <c r="W208" s="14"/>
      <c r="X208" s="18" t="str">
        <f aca="false">IF(S208="","",S208+N(T208)+N(U208)+N(V208)+N(W208))</f>
        <v/>
      </c>
      <c r="Y208" s="4"/>
      <c r="Z208" s="15"/>
      <c r="AA208" s="14"/>
      <c r="AB208" s="19"/>
      <c r="AC208" s="4"/>
      <c r="AD208" s="15"/>
      <c r="AE208" s="14"/>
      <c r="AF208" s="14"/>
      <c r="AG208" s="14"/>
      <c r="AH208" s="18" t="str">
        <f aca="false">IF(AND(AC208="Sold",AE208&lt;&gt;"",AF208&lt;&gt;""),AE208-AF208,"")</f>
        <v/>
      </c>
      <c r="AI208" s="18" t="str">
        <f aca="false">IF(AND(AC208="Sold",AF208&lt;&gt;"",X208&lt;&gt;""),AF208-N(AG208)-X208,"")</f>
        <v/>
      </c>
      <c r="AJ208" s="20" t="str">
        <f aca="false">IF(AND(AI208&lt;&gt;"",N(AE208)&gt;0),AI208/AE208,"")</f>
        <v/>
      </c>
      <c r="AK208" s="20" t="str">
        <f aca="false">IF(AND(AI208&lt;&gt;"",N(X208)&gt;0),AI208/X208,"")</f>
        <v/>
      </c>
      <c r="AL208" s="21" t="str">
        <f aca="false">IF(AND(AC208="Sold",AD208&lt;&gt;"",Z208&lt;&gt;""),AD208-Z208,"")</f>
        <v/>
      </c>
      <c r="AM208" s="20" t="str">
        <f aca="false">IF(AND(AC208="Sold",N(AA208)&gt;0,AE208&lt;&gt;""),1-AE208/AA208,"")</f>
        <v/>
      </c>
      <c r="AN208" s="21" t="str">
        <f aca="true">IF(AND(AC208&lt;&gt;"Sold",AC208&lt;&gt;"",Z208&lt;&gt;""),TODAY()-Z208,"")</f>
        <v/>
      </c>
      <c r="AO208" s="4"/>
      <c r="AP208" s="4"/>
    </row>
    <row r="209" customFormat="false" ht="1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14"/>
      <c r="O209" s="15"/>
      <c r="P209" s="16"/>
      <c r="Q209" s="4"/>
      <c r="R209" s="17"/>
      <c r="S209" s="18" t="str">
        <f aca="false">IF(OR(P209="",R209=""),"",P209*R209)</f>
        <v/>
      </c>
      <c r="T209" s="14"/>
      <c r="U209" s="14"/>
      <c r="V209" s="14"/>
      <c r="W209" s="14"/>
      <c r="X209" s="18" t="str">
        <f aca="false">IF(S209="","",S209+N(T209)+N(U209)+N(V209)+N(W209))</f>
        <v/>
      </c>
      <c r="Y209" s="4"/>
      <c r="Z209" s="15"/>
      <c r="AA209" s="14"/>
      <c r="AB209" s="19"/>
      <c r="AC209" s="4"/>
      <c r="AD209" s="15"/>
      <c r="AE209" s="14"/>
      <c r="AF209" s="14"/>
      <c r="AG209" s="14"/>
      <c r="AH209" s="18" t="str">
        <f aca="false">IF(AND(AC209="Sold",AE209&lt;&gt;"",AF209&lt;&gt;""),AE209-AF209,"")</f>
        <v/>
      </c>
      <c r="AI209" s="18" t="str">
        <f aca="false">IF(AND(AC209="Sold",AF209&lt;&gt;"",X209&lt;&gt;""),AF209-N(AG209)-X209,"")</f>
        <v/>
      </c>
      <c r="AJ209" s="20" t="str">
        <f aca="false">IF(AND(AI209&lt;&gt;"",N(AE209)&gt;0),AI209/AE209,"")</f>
        <v/>
      </c>
      <c r="AK209" s="20" t="str">
        <f aca="false">IF(AND(AI209&lt;&gt;"",N(X209)&gt;0),AI209/X209,"")</f>
        <v/>
      </c>
      <c r="AL209" s="21" t="str">
        <f aca="false">IF(AND(AC209="Sold",AD209&lt;&gt;"",Z209&lt;&gt;""),AD209-Z209,"")</f>
        <v/>
      </c>
      <c r="AM209" s="20" t="str">
        <f aca="false">IF(AND(AC209="Sold",N(AA209)&gt;0,AE209&lt;&gt;""),1-AE209/AA209,"")</f>
        <v/>
      </c>
      <c r="AN209" s="21" t="str">
        <f aca="true">IF(AND(AC209&lt;&gt;"Sold",AC209&lt;&gt;"",Z209&lt;&gt;""),TODAY()-Z209,"")</f>
        <v/>
      </c>
      <c r="AO209" s="4"/>
      <c r="AP209" s="4"/>
    </row>
    <row r="210" customFormat="false" ht="1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14"/>
      <c r="O210" s="15"/>
      <c r="P210" s="16"/>
      <c r="Q210" s="4"/>
      <c r="R210" s="17"/>
      <c r="S210" s="18" t="str">
        <f aca="false">IF(OR(P210="",R210=""),"",P210*R210)</f>
        <v/>
      </c>
      <c r="T210" s="14"/>
      <c r="U210" s="14"/>
      <c r="V210" s="14"/>
      <c r="W210" s="14"/>
      <c r="X210" s="18" t="str">
        <f aca="false">IF(S210="","",S210+N(T210)+N(U210)+N(V210)+N(W210))</f>
        <v/>
      </c>
      <c r="Y210" s="4"/>
      <c r="Z210" s="15"/>
      <c r="AA210" s="14"/>
      <c r="AB210" s="19"/>
      <c r="AC210" s="4"/>
      <c r="AD210" s="15"/>
      <c r="AE210" s="14"/>
      <c r="AF210" s="14"/>
      <c r="AG210" s="14"/>
      <c r="AH210" s="18" t="str">
        <f aca="false">IF(AND(AC210="Sold",AE210&lt;&gt;"",AF210&lt;&gt;""),AE210-AF210,"")</f>
        <v/>
      </c>
      <c r="AI210" s="18" t="str">
        <f aca="false">IF(AND(AC210="Sold",AF210&lt;&gt;"",X210&lt;&gt;""),AF210-N(AG210)-X210,"")</f>
        <v/>
      </c>
      <c r="AJ210" s="20" t="str">
        <f aca="false">IF(AND(AI210&lt;&gt;"",N(AE210)&gt;0),AI210/AE210,"")</f>
        <v/>
      </c>
      <c r="AK210" s="20" t="str">
        <f aca="false">IF(AND(AI210&lt;&gt;"",N(X210)&gt;0),AI210/X210,"")</f>
        <v/>
      </c>
      <c r="AL210" s="21" t="str">
        <f aca="false">IF(AND(AC210="Sold",AD210&lt;&gt;"",Z210&lt;&gt;""),AD210-Z210,"")</f>
        <v/>
      </c>
      <c r="AM210" s="20" t="str">
        <f aca="false">IF(AND(AC210="Sold",N(AA210)&gt;0,AE210&lt;&gt;""),1-AE210/AA210,"")</f>
        <v/>
      </c>
      <c r="AN210" s="21" t="str">
        <f aca="true">IF(AND(AC210&lt;&gt;"Sold",AC210&lt;&gt;"",Z210&lt;&gt;""),TODAY()-Z210,"")</f>
        <v/>
      </c>
      <c r="AO210" s="4"/>
      <c r="AP210" s="4"/>
    </row>
    <row r="211" customFormat="false" ht="1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14"/>
      <c r="O211" s="15"/>
      <c r="P211" s="16"/>
      <c r="Q211" s="4"/>
      <c r="R211" s="17"/>
      <c r="S211" s="18" t="str">
        <f aca="false">IF(OR(P211="",R211=""),"",P211*R211)</f>
        <v/>
      </c>
      <c r="T211" s="14"/>
      <c r="U211" s="14"/>
      <c r="V211" s="14"/>
      <c r="W211" s="14"/>
      <c r="X211" s="18" t="str">
        <f aca="false">IF(S211="","",S211+N(T211)+N(U211)+N(V211)+N(W211))</f>
        <v/>
      </c>
      <c r="Y211" s="4"/>
      <c r="Z211" s="15"/>
      <c r="AA211" s="14"/>
      <c r="AB211" s="19"/>
      <c r="AC211" s="4"/>
      <c r="AD211" s="15"/>
      <c r="AE211" s="14"/>
      <c r="AF211" s="14"/>
      <c r="AG211" s="14"/>
      <c r="AH211" s="18" t="str">
        <f aca="false">IF(AND(AC211="Sold",AE211&lt;&gt;"",AF211&lt;&gt;""),AE211-AF211,"")</f>
        <v/>
      </c>
      <c r="AI211" s="18" t="str">
        <f aca="false">IF(AND(AC211="Sold",AF211&lt;&gt;"",X211&lt;&gt;""),AF211-N(AG211)-X211,"")</f>
        <v/>
      </c>
      <c r="AJ211" s="20" t="str">
        <f aca="false">IF(AND(AI211&lt;&gt;"",N(AE211)&gt;0),AI211/AE211,"")</f>
        <v/>
      </c>
      <c r="AK211" s="20" t="str">
        <f aca="false">IF(AND(AI211&lt;&gt;"",N(X211)&gt;0),AI211/X211,"")</f>
        <v/>
      </c>
      <c r="AL211" s="21" t="str">
        <f aca="false">IF(AND(AC211="Sold",AD211&lt;&gt;"",Z211&lt;&gt;""),AD211-Z211,"")</f>
        <v/>
      </c>
      <c r="AM211" s="20" t="str">
        <f aca="false">IF(AND(AC211="Sold",N(AA211)&gt;0,AE211&lt;&gt;""),1-AE211/AA211,"")</f>
        <v/>
      </c>
      <c r="AN211" s="21" t="str">
        <f aca="true">IF(AND(AC211&lt;&gt;"Sold",AC211&lt;&gt;"",Z211&lt;&gt;""),TODAY()-Z211,"")</f>
        <v/>
      </c>
      <c r="AO211" s="4"/>
      <c r="AP211" s="4"/>
    </row>
    <row r="212" customFormat="false" ht="1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14"/>
      <c r="O212" s="15"/>
      <c r="P212" s="16"/>
      <c r="Q212" s="4"/>
      <c r="R212" s="17"/>
      <c r="S212" s="18" t="str">
        <f aca="false">IF(OR(P212="",R212=""),"",P212*R212)</f>
        <v/>
      </c>
      <c r="T212" s="14"/>
      <c r="U212" s="14"/>
      <c r="V212" s="14"/>
      <c r="W212" s="14"/>
      <c r="X212" s="18" t="str">
        <f aca="false">IF(S212="","",S212+N(T212)+N(U212)+N(V212)+N(W212))</f>
        <v/>
      </c>
      <c r="Y212" s="4"/>
      <c r="Z212" s="15"/>
      <c r="AA212" s="14"/>
      <c r="AB212" s="19"/>
      <c r="AC212" s="4"/>
      <c r="AD212" s="15"/>
      <c r="AE212" s="14"/>
      <c r="AF212" s="14"/>
      <c r="AG212" s="14"/>
      <c r="AH212" s="18" t="str">
        <f aca="false">IF(AND(AC212="Sold",AE212&lt;&gt;"",AF212&lt;&gt;""),AE212-AF212,"")</f>
        <v/>
      </c>
      <c r="AI212" s="18" t="str">
        <f aca="false">IF(AND(AC212="Sold",AF212&lt;&gt;"",X212&lt;&gt;""),AF212-N(AG212)-X212,"")</f>
        <v/>
      </c>
      <c r="AJ212" s="20" t="str">
        <f aca="false">IF(AND(AI212&lt;&gt;"",N(AE212)&gt;0),AI212/AE212,"")</f>
        <v/>
      </c>
      <c r="AK212" s="20" t="str">
        <f aca="false">IF(AND(AI212&lt;&gt;"",N(X212)&gt;0),AI212/X212,"")</f>
        <v/>
      </c>
      <c r="AL212" s="21" t="str">
        <f aca="false">IF(AND(AC212="Sold",AD212&lt;&gt;"",Z212&lt;&gt;""),AD212-Z212,"")</f>
        <v/>
      </c>
      <c r="AM212" s="20" t="str">
        <f aca="false">IF(AND(AC212="Sold",N(AA212)&gt;0,AE212&lt;&gt;""),1-AE212/AA212,"")</f>
        <v/>
      </c>
      <c r="AN212" s="21" t="str">
        <f aca="true">IF(AND(AC212&lt;&gt;"Sold",AC212&lt;&gt;"",Z212&lt;&gt;""),TODAY()-Z212,"")</f>
        <v/>
      </c>
      <c r="AO212" s="4"/>
      <c r="AP212" s="4"/>
    </row>
    <row r="213" customFormat="false" ht="1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14"/>
      <c r="O213" s="15"/>
      <c r="P213" s="16"/>
      <c r="Q213" s="4"/>
      <c r="R213" s="17"/>
      <c r="S213" s="18" t="str">
        <f aca="false">IF(OR(P213="",R213=""),"",P213*R213)</f>
        <v/>
      </c>
      <c r="T213" s="14"/>
      <c r="U213" s="14"/>
      <c r="V213" s="14"/>
      <c r="W213" s="14"/>
      <c r="X213" s="18" t="str">
        <f aca="false">IF(S213="","",S213+N(T213)+N(U213)+N(V213)+N(W213))</f>
        <v/>
      </c>
      <c r="Y213" s="4"/>
      <c r="Z213" s="15"/>
      <c r="AA213" s="14"/>
      <c r="AB213" s="19"/>
      <c r="AC213" s="4"/>
      <c r="AD213" s="15"/>
      <c r="AE213" s="14"/>
      <c r="AF213" s="14"/>
      <c r="AG213" s="14"/>
      <c r="AH213" s="18" t="str">
        <f aca="false">IF(AND(AC213="Sold",AE213&lt;&gt;"",AF213&lt;&gt;""),AE213-AF213,"")</f>
        <v/>
      </c>
      <c r="AI213" s="18" t="str">
        <f aca="false">IF(AND(AC213="Sold",AF213&lt;&gt;"",X213&lt;&gt;""),AF213-N(AG213)-X213,"")</f>
        <v/>
      </c>
      <c r="AJ213" s="20" t="str">
        <f aca="false">IF(AND(AI213&lt;&gt;"",N(AE213)&gt;0),AI213/AE213,"")</f>
        <v/>
      </c>
      <c r="AK213" s="20" t="str">
        <f aca="false">IF(AND(AI213&lt;&gt;"",N(X213)&gt;0),AI213/X213,"")</f>
        <v/>
      </c>
      <c r="AL213" s="21" t="str">
        <f aca="false">IF(AND(AC213="Sold",AD213&lt;&gt;"",Z213&lt;&gt;""),AD213-Z213,"")</f>
        <v/>
      </c>
      <c r="AM213" s="20" t="str">
        <f aca="false">IF(AND(AC213="Sold",N(AA213)&gt;0,AE213&lt;&gt;""),1-AE213/AA213,"")</f>
        <v/>
      </c>
      <c r="AN213" s="21" t="str">
        <f aca="true">IF(AND(AC213&lt;&gt;"Sold",AC213&lt;&gt;"",Z213&lt;&gt;""),TODAY()-Z213,"")</f>
        <v/>
      </c>
      <c r="AO213" s="4"/>
      <c r="AP213" s="4"/>
    </row>
    <row r="214" customFormat="false" ht="1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14"/>
      <c r="O214" s="15"/>
      <c r="P214" s="16"/>
      <c r="Q214" s="4"/>
      <c r="R214" s="17"/>
      <c r="S214" s="18" t="str">
        <f aca="false">IF(OR(P214="",R214=""),"",P214*R214)</f>
        <v/>
      </c>
      <c r="T214" s="14"/>
      <c r="U214" s="14"/>
      <c r="V214" s="14"/>
      <c r="W214" s="14"/>
      <c r="X214" s="18" t="str">
        <f aca="false">IF(S214="","",S214+N(T214)+N(U214)+N(V214)+N(W214))</f>
        <v/>
      </c>
      <c r="Y214" s="4"/>
      <c r="Z214" s="15"/>
      <c r="AA214" s="14"/>
      <c r="AB214" s="19"/>
      <c r="AC214" s="4"/>
      <c r="AD214" s="15"/>
      <c r="AE214" s="14"/>
      <c r="AF214" s="14"/>
      <c r="AG214" s="14"/>
      <c r="AH214" s="18" t="str">
        <f aca="false">IF(AND(AC214="Sold",AE214&lt;&gt;"",AF214&lt;&gt;""),AE214-AF214,"")</f>
        <v/>
      </c>
      <c r="AI214" s="18" t="str">
        <f aca="false">IF(AND(AC214="Sold",AF214&lt;&gt;"",X214&lt;&gt;""),AF214-N(AG214)-X214,"")</f>
        <v/>
      </c>
      <c r="AJ214" s="20" t="str">
        <f aca="false">IF(AND(AI214&lt;&gt;"",N(AE214)&gt;0),AI214/AE214,"")</f>
        <v/>
      </c>
      <c r="AK214" s="20" t="str">
        <f aca="false">IF(AND(AI214&lt;&gt;"",N(X214)&gt;0),AI214/X214,"")</f>
        <v/>
      </c>
      <c r="AL214" s="21" t="str">
        <f aca="false">IF(AND(AC214="Sold",AD214&lt;&gt;"",Z214&lt;&gt;""),AD214-Z214,"")</f>
        <v/>
      </c>
      <c r="AM214" s="20" t="str">
        <f aca="false">IF(AND(AC214="Sold",N(AA214)&gt;0,AE214&lt;&gt;""),1-AE214/AA214,"")</f>
        <v/>
      </c>
      <c r="AN214" s="21" t="str">
        <f aca="true">IF(AND(AC214&lt;&gt;"Sold",AC214&lt;&gt;"",Z214&lt;&gt;""),TODAY()-Z214,"")</f>
        <v/>
      </c>
      <c r="AO214" s="4"/>
      <c r="AP214" s="4"/>
    </row>
    <row r="215" customFormat="false" ht="1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14"/>
      <c r="O215" s="15"/>
      <c r="P215" s="16"/>
      <c r="Q215" s="4"/>
      <c r="R215" s="17"/>
      <c r="S215" s="18" t="str">
        <f aca="false">IF(OR(P215="",R215=""),"",P215*R215)</f>
        <v/>
      </c>
      <c r="T215" s="14"/>
      <c r="U215" s="14"/>
      <c r="V215" s="14"/>
      <c r="W215" s="14"/>
      <c r="X215" s="18" t="str">
        <f aca="false">IF(S215="","",S215+N(T215)+N(U215)+N(V215)+N(W215))</f>
        <v/>
      </c>
      <c r="Y215" s="4"/>
      <c r="Z215" s="15"/>
      <c r="AA215" s="14"/>
      <c r="AB215" s="19"/>
      <c r="AC215" s="4"/>
      <c r="AD215" s="15"/>
      <c r="AE215" s="14"/>
      <c r="AF215" s="14"/>
      <c r="AG215" s="14"/>
      <c r="AH215" s="18" t="str">
        <f aca="false">IF(AND(AC215="Sold",AE215&lt;&gt;"",AF215&lt;&gt;""),AE215-AF215,"")</f>
        <v/>
      </c>
      <c r="AI215" s="18" t="str">
        <f aca="false">IF(AND(AC215="Sold",AF215&lt;&gt;"",X215&lt;&gt;""),AF215-N(AG215)-X215,"")</f>
        <v/>
      </c>
      <c r="AJ215" s="20" t="str">
        <f aca="false">IF(AND(AI215&lt;&gt;"",N(AE215)&gt;0),AI215/AE215,"")</f>
        <v/>
      </c>
      <c r="AK215" s="20" t="str">
        <f aca="false">IF(AND(AI215&lt;&gt;"",N(X215)&gt;0),AI215/X215,"")</f>
        <v/>
      </c>
      <c r="AL215" s="21" t="str">
        <f aca="false">IF(AND(AC215="Sold",AD215&lt;&gt;"",Z215&lt;&gt;""),AD215-Z215,"")</f>
        <v/>
      </c>
      <c r="AM215" s="20" t="str">
        <f aca="false">IF(AND(AC215="Sold",N(AA215)&gt;0,AE215&lt;&gt;""),1-AE215/AA215,"")</f>
        <v/>
      </c>
      <c r="AN215" s="21" t="str">
        <f aca="true">IF(AND(AC215&lt;&gt;"Sold",AC215&lt;&gt;"",Z215&lt;&gt;""),TODAY()-Z215,"")</f>
        <v/>
      </c>
      <c r="AO215" s="4"/>
      <c r="AP215" s="4"/>
    </row>
    <row r="216" customFormat="false" ht="1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14"/>
      <c r="O216" s="15"/>
      <c r="P216" s="16"/>
      <c r="Q216" s="4"/>
      <c r="R216" s="17"/>
      <c r="S216" s="18" t="str">
        <f aca="false">IF(OR(P216="",R216=""),"",P216*R216)</f>
        <v/>
      </c>
      <c r="T216" s="14"/>
      <c r="U216" s="14"/>
      <c r="V216" s="14"/>
      <c r="W216" s="14"/>
      <c r="X216" s="18" t="str">
        <f aca="false">IF(S216="","",S216+N(T216)+N(U216)+N(V216)+N(W216))</f>
        <v/>
      </c>
      <c r="Y216" s="4"/>
      <c r="Z216" s="15"/>
      <c r="AA216" s="14"/>
      <c r="AB216" s="19"/>
      <c r="AC216" s="4"/>
      <c r="AD216" s="15"/>
      <c r="AE216" s="14"/>
      <c r="AF216" s="14"/>
      <c r="AG216" s="14"/>
      <c r="AH216" s="18" t="str">
        <f aca="false">IF(AND(AC216="Sold",AE216&lt;&gt;"",AF216&lt;&gt;""),AE216-AF216,"")</f>
        <v/>
      </c>
      <c r="AI216" s="18" t="str">
        <f aca="false">IF(AND(AC216="Sold",AF216&lt;&gt;"",X216&lt;&gt;""),AF216-N(AG216)-X216,"")</f>
        <v/>
      </c>
      <c r="AJ216" s="20" t="str">
        <f aca="false">IF(AND(AI216&lt;&gt;"",N(AE216)&gt;0),AI216/AE216,"")</f>
        <v/>
      </c>
      <c r="AK216" s="20" t="str">
        <f aca="false">IF(AND(AI216&lt;&gt;"",N(X216)&gt;0),AI216/X216,"")</f>
        <v/>
      </c>
      <c r="AL216" s="21" t="str">
        <f aca="false">IF(AND(AC216="Sold",AD216&lt;&gt;"",Z216&lt;&gt;""),AD216-Z216,"")</f>
        <v/>
      </c>
      <c r="AM216" s="20" t="str">
        <f aca="false">IF(AND(AC216="Sold",N(AA216)&gt;0,AE216&lt;&gt;""),1-AE216/AA216,"")</f>
        <v/>
      </c>
      <c r="AN216" s="21" t="str">
        <f aca="true">IF(AND(AC216&lt;&gt;"Sold",AC216&lt;&gt;"",Z216&lt;&gt;""),TODAY()-Z216,"")</f>
        <v/>
      </c>
      <c r="AO216" s="4"/>
      <c r="AP216" s="4"/>
    </row>
    <row r="217" customFormat="false" ht="1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14"/>
      <c r="O217" s="15"/>
      <c r="P217" s="16"/>
      <c r="Q217" s="4"/>
      <c r="R217" s="17"/>
      <c r="S217" s="18" t="str">
        <f aca="false">IF(OR(P217="",R217=""),"",P217*R217)</f>
        <v/>
      </c>
      <c r="T217" s="14"/>
      <c r="U217" s="14"/>
      <c r="V217" s="14"/>
      <c r="W217" s="14"/>
      <c r="X217" s="18" t="str">
        <f aca="false">IF(S217="","",S217+N(T217)+N(U217)+N(V217)+N(W217))</f>
        <v/>
      </c>
      <c r="Y217" s="4"/>
      <c r="Z217" s="15"/>
      <c r="AA217" s="14"/>
      <c r="AB217" s="19"/>
      <c r="AC217" s="4"/>
      <c r="AD217" s="15"/>
      <c r="AE217" s="14"/>
      <c r="AF217" s="14"/>
      <c r="AG217" s="14"/>
      <c r="AH217" s="18" t="str">
        <f aca="false">IF(AND(AC217="Sold",AE217&lt;&gt;"",AF217&lt;&gt;""),AE217-AF217,"")</f>
        <v/>
      </c>
      <c r="AI217" s="18" t="str">
        <f aca="false">IF(AND(AC217="Sold",AF217&lt;&gt;"",X217&lt;&gt;""),AF217-N(AG217)-X217,"")</f>
        <v/>
      </c>
      <c r="AJ217" s="20" t="str">
        <f aca="false">IF(AND(AI217&lt;&gt;"",N(AE217)&gt;0),AI217/AE217,"")</f>
        <v/>
      </c>
      <c r="AK217" s="20" t="str">
        <f aca="false">IF(AND(AI217&lt;&gt;"",N(X217)&gt;0),AI217/X217,"")</f>
        <v/>
      </c>
      <c r="AL217" s="21" t="str">
        <f aca="false">IF(AND(AC217="Sold",AD217&lt;&gt;"",Z217&lt;&gt;""),AD217-Z217,"")</f>
        <v/>
      </c>
      <c r="AM217" s="20" t="str">
        <f aca="false">IF(AND(AC217="Sold",N(AA217)&gt;0,AE217&lt;&gt;""),1-AE217/AA217,"")</f>
        <v/>
      </c>
      <c r="AN217" s="21" t="str">
        <f aca="true">IF(AND(AC217&lt;&gt;"Sold",AC217&lt;&gt;"",Z217&lt;&gt;""),TODAY()-Z217,"")</f>
        <v/>
      </c>
      <c r="AO217" s="4"/>
      <c r="AP217" s="4"/>
    </row>
    <row r="218" customFormat="false" ht="1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14"/>
      <c r="O218" s="15"/>
      <c r="P218" s="16"/>
      <c r="Q218" s="4"/>
      <c r="R218" s="17"/>
      <c r="S218" s="18" t="str">
        <f aca="false">IF(OR(P218="",R218=""),"",P218*R218)</f>
        <v/>
      </c>
      <c r="T218" s="14"/>
      <c r="U218" s="14"/>
      <c r="V218" s="14"/>
      <c r="W218" s="14"/>
      <c r="X218" s="18" t="str">
        <f aca="false">IF(S218="","",S218+N(T218)+N(U218)+N(V218)+N(W218))</f>
        <v/>
      </c>
      <c r="Y218" s="4"/>
      <c r="Z218" s="15"/>
      <c r="AA218" s="14"/>
      <c r="AB218" s="19"/>
      <c r="AC218" s="4"/>
      <c r="AD218" s="15"/>
      <c r="AE218" s="14"/>
      <c r="AF218" s="14"/>
      <c r="AG218" s="14"/>
      <c r="AH218" s="18" t="str">
        <f aca="false">IF(AND(AC218="Sold",AE218&lt;&gt;"",AF218&lt;&gt;""),AE218-AF218,"")</f>
        <v/>
      </c>
      <c r="AI218" s="18" t="str">
        <f aca="false">IF(AND(AC218="Sold",AF218&lt;&gt;"",X218&lt;&gt;""),AF218-N(AG218)-X218,"")</f>
        <v/>
      </c>
      <c r="AJ218" s="20" t="str">
        <f aca="false">IF(AND(AI218&lt;&gt;"",N(AE218)&gt;0),AI218/AE218,"")</f>
        <v/>
      </c>
      <c r="AK218" s="20" t="str">
        <f aca="false">IF(AND(AI218&lt;&gt;"",N(X218)&gt;0),AI218/X218,"")</f>
        <v/>
      </c>
      <c r="AL218" s="21" t="str">
        <f aca="false">IF(AND(AC218="Sold",AD218&lt;&gt;"",Z218&lt;&gt;""),AD218-Z218,"")</f>
        <v/>
      </c>
      <c r="AM218" s="20" t="str">
        <f aca="false">IF(AND(AC218="Sold",N(AA218)&gt;0,AE218&lt;&gt;""),1-AE218/AA218,"")</f>
        <v/>
      </c>
      <c r="AN218" s="21" t="str">
        <f aca="true">IF(AND(AC218&lt;&gt;"Sold",AC218&lt;&gt;"",Z218&lt;&gt;""),TODAY()-Z218,"")</f>
        <v/>
      </c>
      <c r="AO218" s="4"/>
      <c r="AP218" s="4"/>
    </row>
    <row r="219" customFormat="false" ht="1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14"/>
      <c r="O219" s="15"/>
      <c r="P219" s="16"/>
      <c r="Q219" s="4"/>
      <c r="R219" s="17"/>
      <c r="S219" s="18" t="str">
        <f aca="false">IF(OR(P219="",R219=""),"",P219*R219)</f>
        <v/>
      </c>
      <c r="T219" s="14"/>
      <c r="U219" s="14"/>
      <c r="V219" s="14"/>
      <c r="W219" s="14"/>
      <c r="X219" s="18" t="str">
        <f aca="false">IF(S219="","",S219+N(T219)+N(U219)+N(V219)+N(W219))</f>
        <v/>
      </c>
      <c r="Y219" s="4"/>
      <c r="Z219" s="15"/>
      <c r="AA219" s="14"/>
      <c r="AB219" s="19"/>
      <c r="AC219" s="4"/>
      <c r="AD219" s="15"/>
      <c r="AE219" s="14"/>
      <c r="AF219" s="14"/>
      <c r="AG219" s="14"/>
      <c r="AH219" s="18" t="str">
        <f aca="false">IF(AND(AC219="Sold",AE219&lt;&gt;"",AF219&lt;&gt;""),AE219-AF219,"")</f>
        <v/>
      </c>
      <c r="AI219" s="18" t="str">
        <f aca="false">IF(AND(AC219="Sold",AF219&lt;&gt;"",X219&lt;&gt;""),AF219-N(AG219)-X219,"")</f>
        <v/>
      </c>
      <c r="AJ219" s="20" t="str">
        <f aca="false">IF(AND(AI219&lt;&gt;"",N(AE219)&gt;0),AI219/AE219,"")</f>
        <v/>
      </c>
      <c r="AK219" s="20" t="str">
        <f aca="false">IF(AND(AI219&lt;&gt;"",N(X219)&gt;0),AI219/X219,"")</f>
        <v/>
      </c>
      <c r="AL219" s="21" t="str">
        <f aca="false">IF(AND(AC219="Sold",AD219&lt;&gt;"",Z219&lt;&gt;""),AD219-Z219,"")</f>
        <v/>
      </c>
      <c r="AM219" s="20" t="str">
        <f aca="false">IF(AND(AC219="Sold",N(AA219)&gt;0,AE219&lt;&gt;""),1-AE219/AA219,"")</f>
        <v/>
      </c>
      <c r="AN219" s="21" t="str">
        <f aca="true">IF(AND(AC219&lt;&gt;"Sold",AC219&lt;&gt;"",Z219&lt;&gt;""),TODAY()-Z219,"")</f>
        <v/>
      </c>
      <c r="AO219" s="4"/>
      <c r="AP219" s="4"/>
    </row>
    <row r="220" customFormat="false" ht="1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14"/>
      <c r="O220" s="15"/>
      <c r="P220" s="16"/>
      <c r="Q220" s="4"/>
      <c r="R220" s="17"/>
      <c r="S220" s="18" t="str">
        <f aca="false">IF(OR(P220="",R220=""),"",P220*R220)</f>
        <v/>
      </c>
      <c r="T220" s="14"/>
      <c r="U220" s="14"/>
      <c r="V220" s="14"/>
      <c r="W220" s="14"/>
      <c r="X220" s="18" t="str">
        <f aca="false">IF(S220="","",S220+N(T220)+N(U220)+N(V220)+N(W220))</f>
        <v/>
      </c>
      <c r="Y220" s="4"/>
      <c r="Z220" s="15"/>
      <c r="AA220" s="14"/>
      <c r="AB220" s="19"/>
      <c r="AC220" s="4"/>
      <c r="AD220" s="15"/>
      <c r="AE220" s="14"/>
      <c r="AF220" s="14"/>
      <c r="AG220" s="14"/>
      <c r="AH220" s="18" t="str">
        <f aca="false">IF(AND(AC220="Sold",AE220&lt;&gt;"",AF220&lt;&gt;""),AE220-AF220,"")</f>
        <v/>
      </c>
      <c r="AI220" s="18" t="str">
        <f aca="false">IF(AND(AC220="Sold",AF220&lt;&gt;"",X220&lt;&gt;""),AF220-N(AG220)-X220,"")</f>
        <v/>
      </c>
      <c r="AJ220" s="20" t="str">
        <f aca="false">IF(AND(AI220&lt;&gt;"",N(AE220)&gt;0),AI220/AE220,"")</f>
        <v/>
      </c>
      <c r="AK220" s="20" t="str">
        <f aca="false">IF(AND(AI220&lt;&gt;"",N(X220)&gt;0),AI220/X220,"")</f>
        <v/>
      </c>
      <c r="AL220" s="21" t="str">
        <f aca="false">IF(AND(AC220="Sold",AD220&lt;&gt;"",Z220&lt;&gt;""),AD220-Z220,"")</f>
        <v/>
      </c>
      <c r="AM220" s="20" t="str">
        <f aca="false">IF(AND(AC220="Sold",N(AA220)&gt;0,AE220&lt;&gt;""),1-AE220/AA220,"")</f>
        <v/>
      </c>
      <c r="AN220" s="21" t="str">
        <f aca="true">IF(AND(AC220&lt;&gt;"Sold",AC220&lt;&gt;"",Z220&lt;&gt;""),TODAY()-Z220,"")</f>
        <v/>
      </c>
      <c r="AO220" s="4"/>
      <c r="AP220" s="4"/>
    </row>
    <row r="221" customFormat="false" ht="1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14"/>
      <c r="O221" s="15"/>
      <c r="P221" s="16"/>
      <c r="Q221" s="4"/>
      <c r="R221" s="17"/>
      <c r="S221" s="18" t="str">
        <f aca="false">IF(OR(P221="",R221=""),"",P221*R221)</f>
        <v/>
      </c>
      <c r="T221" s="14"/>
      <c r="U221" s="14"/>
      <c r="V221" s="14"/>
      <c r="W221" s="14"/>
      <c r="X221" s="18" t="str">
        <f aca="false">IF(S221="","",S221+N(T221)+N(U221)+N(V221)+N(W221))</f>
        <v/>
      </c>
      <c r="Y221" s="4"/>
      <c r="Z221" s="15"/>
      <c r="AA221" s="14"/>
      <c r="AB221" s="19"/>
      <c r="AC221" s="4"/>
      <c r="AD221" s="15"/>
      <c r="AE221" s="14"/>
      <c r="AF221" s="14"/>
      <c r="AG221" s="14"/>
      <c r="AH221" s="18" t="str">
        <f aca="false">IF(AND(AC221="Sold",AE221&lt;&gt;"",AF221&lt;&gt;""),AE221-AF221,"")</f>
        <v/>
      </c>
      <c r="AI221" s="18" t="str">
        <f aca="false">IF(AND(AC221="Sold",AF221&lt;&gt;"",X221&lt;&gt;""),AF221-N(AG221)-X221,"")</f>
        <v/>
      </c>
      <c r="AJ221" s="20" t="str">
        <f aca="false">IF(AND(AI221&lt;&gt;"",N(AE221)&gt;0),AI221/AE221,"")</f>
        <v/>
      </c>
      <c r="AK221" s="20" t="str">
        <f aca="false">IF(AND(AI221&lt;&gt;"",N(X221)&gt;0),AI221/X221,"")</f>
        <v/>
      </c>
      <c r="AL221" s="21" t="str">
        <f aca="false">IF(AND(AC221="Sold",AD221&lt;&gt;"",Z221&lt;&gt;""),AD221-Z221,"")</f>
        <v/>
      </c>
      <c r="AM221" s="20" t="str">
        <f aca="false">IF(AND(AC221="Sold",N(AA221)&gt;0,AE221&lt;&gt;""),1-AE221/AA221,"")</f>
        <v/>
      </c>
      <c r="AN221" s="21" t="str">
        <f aca="true">IF(AND(AC221&lt;&gt;"Sold",AC221&lt;&gt;"",Z221&lt;&gt;""),TODAY()-Z221,"")</f>
        <v/>
      </c>
      <c r="AO221" s="4"/>
      <c r="AP221" s="4"/>
    </row>
    <row r="222" customFormat="false" ht="1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14"/>
      <c r="O222" s="15"/>
      <c r="P222" s="16"/>
      <c r="Q222" s="4"/>
      <c r="R222" s="17"/>
      <c r="S222" s="18" t="str">
        <f aca="false">IF(OR(P222="",R222=""),"",P222*R222)</f>
        <v/>
      </c>
      <c r="T222" s="14"/>
      <c r="U222" s="14"/>
      <c r="V222" s="14"/>
      <c r="W222" s="14"/>
      <c r="X222" s="18" t="str">
        <f aca="false">IF(S222="","",S222+N(T222)+N(U222)+N(V222)+N(W222))</f>
        <v/>
      </c>
      <c r="Y222" s="4"/>
      <c r="Z222" s="15"/>
      <c r="AA222" s="14"/>
      <c r="AB222" s="19"/>
      <c r="AC222" s="4"/>
      <c r="AD222" s="15"/>
      <c r="AE222" s="14"/>
      <c r="AF222" s="14"/>
      <c r="AG222" s="14"/>
      <c r="AH222" s="18" t="str">
        <f aca="false">IF(AND(AC222="Sold",AE222&lt;&gt;"",AF222&lt;&gt;""),AE222-AF222,"")</f>
        <v/>
      </c>
      <c r="AI222" s="18" t="str">
        <f aca="false">IF(AND(AC222="Sold",AF222&lt;&gt;"",X222&lt;&gt;""),AF222-N(AG222)-X222,"")</f>
        <v/>
      </c>
      <c r="AJ222" s="20" t="str">
        <f aca="false">IF(AND(AI222&lt;&gt;"",N(AE222)&gt;0),AI222/AE222,"")</f>
        <v/>
      </c>
      <c r="AK222" s="20" t="str">
        <f aca="false">IF(AND(AI222&lt;&gt;"",N(X222)&gt;0),AI222/X222,"")</f>
        <v/>
      </c>
      <c r="AL222" s="21" t="str">
        <f aca="false">IF(AND(AC222="Sold",AD222&lt;&gt;"",Z222&lt;&gt;""),AD222-Z222,"")</f>
        <v/>
      </c>
      <c r="AM222" s="20" t="str">
        <f aca="false">IF(AND(AC222="Sold",N(AA222)&gt;0,AE222&lt;&gt;""),1-AE222/AA222,"")</f>
        <v/>
      </c>
      <c r="AN222" s="21" t="str">
        <f aca="true">IF(AND(AC222&lt;&gt;"Sold",AC222&lt;&gt;"",Z222&lt;&gt;""),TODAY()-Z222,"")</f>
        <v/>
      </c>
      <c r="AO222" s="4"/>
      <c r="AP222" s="4"/>
    </row>
    <row r="223" customFormat="false" ht="1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14"/>
      <c r="O223" s="15"/>
      <c r="P223" s="16"/>
      <c r="Q223" s="4"/>
      <c r="R223" s="17"/>
      <c r="S223" s="18" t="str">
        <f aca="false">IF(OR(P223="",R223=""),"",P223*R223)</f>
        <v/>
      </c>
      <c r="T223" s="14"/>
      <c r="U223" s="14"/>
      <c r="V223" s="14"/>
      <c r="W223" s="14"/>
      <c r="X223" s="18" t="str">
        <f aca="false">IF(S223="","",S223+N(T223)+N(U223)+N(V223)+N(W223))</f>
        <v/>
      </c>
      <c r="Y223" s="4"/>
      <c r="Z223" s="15"/>
      <c r="AA223" s="14"/>
      <c r="AB223" s="19"/>
      <c r="AC223" s="4"/>
      <c r="AD223" s="15"/>
      <c r="AE223" s="14"/>
      <c r="AF223" s="14"/>
      <c r="AG223" s="14"/>
      <c r="AH223" s="18" t="str">
        <f aca="false">IF(AND(AC223="Sold",AE223&lt;&gt;"",AF223&lt;&gt;""),AE223-AF223,"")</f>
        <v/>
      </c>
      <c r="AI223" s="18" t="str">
        <f aca="false">IF(AND(AC223="Sold",AF223&lt;&gt;"",X223&lt;&gt;""),AF223-N(AG223)-X223,"")</f>
        <v/>
      </c>
      <c r="AJ223" s="20" t="str">
        <f aca="false">IF(AND(AI223&lt;&gt;"",N(AE223)&gt;0),AI223/AE223,"")</f>
        <v/>
      </c>
      <c r="AK223" s="20" t="str">
        <f aca="false">IF(AND(AI223&lt;&gt;"",N(X223)&gt;0),AI223/X223,"")</f>
        <v/>
      </c>
      <c r="AL223" s="21" t="str">
        <f aca="false">IF(AND(AC223="Sold",AD223&lt;&gt;"",Z223&lt;&gt;""),AD223-Z223,"")</f>
        <v/>
      </c>
      <c r="AM223" s="20" t="str">
        <f aca="false">IF(AND(AC223="Sold",N(AA223)&gt;0,AE223&lt;&gt;""),1-AE223/AA223,"")</f>
        <v/>
      </c>
      <c r="AN223" s="21" t="str">
        <f aca="true">IF(AND(AC223&lt;&gt;"Sold",AC223&lt;&gt;"",Z223&lt;&gt;""),TODAY()-Z223,"")</f>
        <v/>
      </c>
      <c r="AO223" s="4"/>
      <c r="AP223" s="4"/>
    </row>
    <row r="224" customFormat="false" ht="1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14"/>
      <c r="O224" s="15"/>
      <c r="P224" s="16"/>
      <c r="Q224" s="4"/>
      <c r="R224" s="17"/>
      <c r="S224" s="18" t="str">
        <f aca="false">IF(OR(P224="",R224=""),"",P224*R224)</f>
        <v/>
      </c>
      <c r="T224" s="14"/>
      <c r="U224" s="14"/>
      <c r="V224" s="14"/>
      <c r="W224" s="14"/>
      <c r="X224" s="18" t="str">
        <f aca="false">IF(S224="","",S224+N(T224)+N(U224)+N(V224)+N(W224))</f>
        <v/>
      </c>
      <c r="Y224" s="4"/>
      <c r="Z224" s="15"/>
      <c r="AA224" s="14"/>
      <c r="AB224" s="19"/>
      <c r="AC224" s="4"/>
      <c r="AD224" s="15"/>
      <c r="AE224" s="14"/>
      <c r="AF224" s="14"/>
      <c r="AG224" s="14"/>
      <c r="AH224" s="18" t="str">
        <f aca="false">IF(AND(AC224="Sold",AE224&lt;&gt;"",AF224&lt;&gt;""),AE224-AF224,"")</f>
        <v/>
      </c>
      <c r="AI224" s="18" t="str">
        <f aca="false">IF(AND(AC224="Sold",AF224&lt;&gt;"",X224&lt;&gt;""),AF224-N(AG224)-X224,"")</f>
        <v/>
      </c>
      <c r="AJ224" s="20" t="str">
        <f aca="false">IF(AND(AI224&lt;&gt;"",N(AE224)&gt;0),AI224/AE224,"")</f>
        <v/>
      </c>
      <c r="AK224" s="20" t="str">
        <f aca="false">IF(AND(AI224&lt;&gt;"",N(X224)&gt;0),AI224/X224,"")</f>
        <v/>
      </c>
      <c r="AL224" s="21" t="str">
        <f aca="false">IF(AND(AC224="Sold",AD224&lt;&gt;"",Z224&lt;&gt;""),AD224-Z224,"")</f>
        <v/>
      </c>
      <c r="AM224" s="20" t="str">
        <f aca="false">IF(AND(AC224="Sold",N(AA224)&gt;0,AE224&lt;&gt;""),1-AE224/AA224,"")</f>
        <v/>
      </c>
      <c r="AN224" s="21" t="str">
        <f aca="true">IF(AND(AC224&lt;&gt;"Sold",AC224&lt;&gt;"",Z224&lt;&gt;""),TODAY()-Z224,"")</f>
        <v/>
      </c>
      <c r="AO224" s="4"/>
      <c r="AP224" s="4"/>
    </row>
    <row r="225" customFormat="false" ht="1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14"/>
      <c r="O225" s="15"/>
      <c r="P225" s="16"/>
      <c r="Q225" s="4"/>
      <c r="R225" s="17"/>
      <c r="S225" s="18" t="str">
        <f aca="false">IF(OR(P225="",R225=""),"",P225*R225)</f>
        <v/>
      </c>
      <c r="T225" s="14"/>
      <c r="U225" s="14"/>
      <c r="V225" s="14"/>
      <c r="W225" s="14"/>
      <c r="X225" s="18" t="str">
        <f aca="false">IF(S225="","",S225+N(T225)+N(U225)+N(V225)+N(W225))</f>
        <v/>
      </c>
      <c r="Y225" s="4"/>
      <c r="Z225" s="15"/>
      <c r="AA225" s="14"/>
      <c r="AB225" s="19"/>
      <c r="AC225" s="4"/>
      <c r="AD225" s="15"/>
      <c r="AE225" s="14"/>
      <c r="AF225" s="14"/>
      <c r="AG225" s="14"/>
      <c r="AH225" s="18" t="str">
        <f aca="false">IF(AND(AC225="Sold",AE225&lt;&gt;"",AF225&lt;&gt;""),AE225-AF225,"")</f>
        <v/>
      </c>
      <c r="AI225" s="18" t="str">
        <f aca="false">IF(AND(AC225="Sold",AF225&lt;&gt;"",X225&lt;&gt;""),AF225-N(AG225)-X225,"")</f>
        <v/>
      </c>
      <c r="AJ225" s="20" t="str">
        <f aca="false">IF(AND(AI225&lt;&gt;"",N(AE225)&gt;0),AI225/AE225,"")</f>
        <v/>
      </c>
      <c r="AK225" s="20" t="str">
        <f aca="false">IF(AND(AI225&lt;&gt;"",N(X225)&gt;0),AI225/X225,"")</f>
        <v/>
      </c>
      <c r="AL225" s="21" t="str">
        <f aca="false">IF(AND(AC225="Sold",AD225&lt;&gt;"",Z225&lt;&gt;""),AD225-Z225,"")</f>
        <v/>
      </c>
      <c r="AM225" s="20" t="str">
        <f aca="false">IF(AND(AC225="Sold",N(AA225)&gt;0,AE225&lt;&gt;""),1-AE225/AA225,"")</f>
        <v/>
      </c>
      <c r="AN225" s="21" t="str">
        <f aca="true">IF(AND(AC225&lt;&gt;"Sold",AC225&lt;&gt;"",Z225&lt;&gt;""),TODAY()-Z225,"")</f>
        <v/>
      </c>
      <c r="AO225" s="4"/>
      <c r="AP225" s="4"/>
    </row>
    <row r="226" customFormat="false" ht="1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14"/>
      <c r="O226" s="15"/>
      <c r="P226" s="16"/>
      <c r="Q226" s="4"/>
      <c r="R226" s="17"/>
      <c r="S226" s="18" t="str">
        <f aca="false">IF(OR(P226="",R226=""),"",P226*R226)</f>
        <v/>
      </c>
      <c r="T226" s="14"/>
      <c r="U226" s="14"/>
      <c r="V226" s="14"/>
      <c r="W226" s="14"/>
      <c r="X226" s="18" t="str">
        <f aca="false">IF(S226="","",S226+N(T226)+N(U226)+N(V226)+N(W226))</f>
        <v/>
      </c>
      <c r="Y226" s="4"/>
      <c r="Z226" s="15"/>
      <c r="AA226" s="14"/>
      <c r="AB226" s="19"/>
      <c r="AC226" s="4"/>
      <c r="AD226" s="15"/>
      <c r="AE226" s="14"/>
      <c r="AF226" s="14"/>
      <c r="AG226" s="14"/>
      <c r="AH226" s="18" t="str">
        <f aca="false">IF(AND(AC226="Sold",AE226&lt;&gt;"",AF226&lt;&gt;""),AE226-AF226,"")</f>
        <v/>
      </c>
      <c r="AI226" s="18" t="str">
        <f aca="false">IF(AND(AC226="Sold",AF226&lt;&gt;"",X226&lt;&gt;""),AF226-N(AG226)-X226,"")</f>
        <v/>
      </c>
      <c r="AJ226" s="20" t="str">
        <f aca="false">IF(AND(AI226&lt;&gt;"",N(AE226)&gt;0),AI226/AE226,"")</f>
        <v/>
      </c>
      <c r="AK226" s="20" t="str">
        <f aca="false">IF(AND(AI226&lt;&gt;"",N(X226)&gt;0),AI226/X226,"")</f>
        <v/>
      </c>
      <c r="AL226" s="21" t="str">
        <f aca="false">IF(AND(AC226="Sold",AD226&lt;&gt;"",Z226&lt;&gt;""),AD226-Z226,"")</f>
        <v/>
      </c>
      <c r="AM226" s="20" t="str">
        <f aca="false">IF(AND(AC226="Sold",N(AA226)&gt;0,AE226&lt;&gt;""),1-AE226/AA226,"")</f>
        <v/>
      </c>
      <c r="AN226" s="21" t="str">
        <f aca="true">IF(AND(AC226&lt;&gt;"Sold",AC226&lt;&gt;"",Z226&lt;&gt;""),TODAY()-Z226,"")</f>
        <v/>
      </c>
      <c r="AO226" s="4"/>
      <c r="AP226" s="4"/>
    </row>
    <row r="227" customFormat="false" ht="1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14"/>
      <c r="O227" s="15"/>
      <c r="P227" s="16"/>
      <c r="Q227" s="4"/>
      <c r="R227" s="17"/>
      <c r="S227" s="18" t="str">
        <f aca="false">IF(OR(P227="",R227=""),"",P227*R227)</f>
        <v/>
      </c>
      <c r="T227" s="14"/>
      <c r="U227" s="14"/>
      <c r="V227" s="14"/>
      <c r="W227" s="14"/>
      <c r="X227" s="18" t="str">
        <f aca="false">IF(S227="","",S227+N(T227)+N(U227)+N(V227)+N(W227))</f>
        <v/>
      </c>
      <c r="Y227" s="4"/>
      <c r="Z227" s="15"/>
      <c r="AA227" s="14"/>
      <c r="AB227" s="19"/>
      <c r="AC227" s="4"/>
      <c r="AD227" s="15"/>
      <c r="AE227" s="14"/>
      <c r="AF227" s="14"/>
      <c r="AG227" s="14"/>
      <c r="AH227" s="18" t="str">
        <f aca="false">IF(AND(AC227="Sold",AE227&lt;&gt;"",AF227&lt;&gt;""),AE227-AF227,"")</f>
        <v/>
      </c>
      <c r="AI227" s="18" t="str">
        <f aca="false">IF(AND(AC227="Sold",AF227&lt;&gt;"",X227&lt;&gt;""),AF227-N(AG227)-X227,"")</f>
        <v/>
      </c>
      <c r="AJ227" s="20" t="str">
        <f aca="false">IF(AND(AI227&lt;&gt;"",N(AE227)&gt;0),AI227/AE227,"")</f>
        <v/>
      </c>
      <c r="AK227" s="20" t="str">
        <f aca="false">IF(AND(AI227&lt;&gt;"",N(X227)&gt;0),AI227/X227,"")</f>
        <v/>
      </c>
      <c r="AL227" s="21" t="str">
        <f aca="false">IF(AND(AC227="Sold",AD227&lt;&gt;"",Z227&lt;&gt;""),AD227-Z227,"")</f>
        <v/>
      </c>
      <c r="AM227" s="20" t="str">
        <f aca="false">IF(AND(AC227="Sold",N(AA227)&gt;0,AE227&lt;&gt;""),1-AE227/AA227,"")</f>
        <v/>
      </c>
      <c r="AN227" s="21" t="str">
        <f aca="true">IF(AND(AC227&lt;&gt;"Sold",AC227&lt;&gt;"",Z227&lt;&gt;""),TODAY()-Z227,"")</f>
        <v/>
      </c>
      <c r="AO227" s="4"/>
      <c r="AP227" s="4"/>
    </row>
    <row r="228" customFormat="false" ht="1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14"/>
      <c r="O228" s="15"/>
      <c r="P228" s="16"/>
      <c r="Q228" s="4"/>
      <c r="R228" s="17"/>
      <c r="S228" s="18" t="str">
        <f aca="false">IF(OR(P228="",R228=""),"",P228*R228)</f>
        <v/>
      </c>
      <c r="T228" s="14"/>
      <c r="U228" s="14"/>
      <c r="V228" s="14"/>
      <c r="W228" s="14"/>
      <c r="X228" s="18" t="str">
        <f aca="false">IF(S228="","",S228+N(T228)+N(U228)+N(V228)+N(W228))</f>
        <v/>
      </c>
      <c r="Y228" s="4"/>
      <c r="Z228" s="15"/>
      <c r="AA228" s="14"/>
      <c r="AB228" s="19"/>
      <c r="AC228" s="4"/>
      <c r="AD228" s="15"/>
      <c r="AE228" s="14"/>
      <c r="AF228" s="14"/>
      <c r="AG228" s="14"/>
      <c r="AH228" s="18" t="str">
        <f aca="false">IF(AND(AC228="Sold",AE228&lt;&gt;"",AF228&lt;&gt;""),AE228-AF228,"")</f>
        <v/>
      </c>
      <c r="AI228" s="18" t="str">
        <f aca="false">IF(AND(AC228="Sold",AF228&lt;&gt;"",X228&lt;&gt;""),AF228-N(AG228)-X228,"")</f>
        <v/>
      </c>
      <c r="AJ228" s="20" t="str">
        <f aca="false">IF(AND(AI228&lt;&gt;"",N(AE228)&gt;0),AI228/AE228,"")</f>
        <v/>
      </c>
      <c r="AK228" s="20" t="str">
        <f aca="false">IF(AND(AI228&lt;&gt;"",N(X228)&gt;0),AI228/X228,"")</f>
        <v/>
      </c>
      <c r="AL228" s="21" t="str">
        <f aca="false">IF(AND(AC228="Sold",AD228&lt;&gt;"",Z228&lt;&gt;""),AD228-Z228,"")</f>
        <v/>
      </c>
      <c r="AM228" s="20" t="str">
        <f aca="false">IF(AND(AC228="Sold",N(AA228)&gt;0,AE228&lt;&gt;""),1-AE228/AA228,"")</f>
        <v/>
      </c>
      <c r="AN228" s="21" t="str">
        <f aca="true">IF(AND(AC228&lt;&gt;"Sold",AC228&lt;&gt;"",Z228&lt;&gt;""),TODAY()-Z228,"")</f>
        <v/>
      </c>
      <c r="AO228" s="4"/>
      <c r="AP228" s="4"/>
    </row>
    <row r="229" customFormat="false" ht="1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14"/>
      <c r="O229" s="15"/>
      <c r="P229" s="16"/>
      <c r="Q229" s="4"/>
      <c r="R229" s="17"/>
      <c r="S229" s="18" t="str">
        <f aca="false">IF(OR(P229="",R229=""),"",P229*R229)</f>
        <v/>
      </c>
      <c r="T229" s="14"/>
      <c r="U229" s="14"/>
      <c r="V229" s="14"/>
      <c r="W229" s="14"/>
      <c r="X229" s="18" t="str">
        <f aca="false">IF(S229="","",S229+N(T229)+N(U229)+N(V229)+N(W229))</f>
        <v/>
      </c>
      <c r="Y229" s="4"/>
      <c r="Z229" s="15"/>
      <c r="AA229" s="14"/>
      <c r="AB229" s="19"/>
      <c r="AC229" s="4"/>
      <c r="AD229" s="15"/>
      <c r="AE229" s="14"/>
      <c r="AF229" s="14"/>
      <c r="AG229" s="14"/>
      <c r="AH229" s="18" t="str">
        <f aca="false">IF(AND(AC229="Sold",AE229&lt;&gt;"",AF229&lt;&gt;""),AE229-AF229,"")</f>
        <v/>
      </c>
      <c r="AI229" s="18" t="str">
        <f aca="false">IF(AND(AC229="Sold",AF229&lt;&gt;"",X229&lt;&gt;""),AF229-N(AG229)-X229,"")</f>
        <v/>
      </c>
      <c r="AJ229" s="20" t="str">
        <f aca="false">IF(AND(AI229&lt;&gt;"",N(AE229)&gt;0),AI229/AE229,"")</f>
        <v/>
      </c>
      <c r="AK229" s="20" t="str">
        <f aca="false">IF(AND(AI229&lt;&gt;"",N(X229)&gt;0),AI229/X229,"")</f>
        <v/>
      </c>
      <c r="AL229" s="21" t="str">
        <f aca="false">IF(AND(AC229="Sold",AD229&lt;&gt;"",Z229&lt;&gt;""),AD229-Z229,"")</f>
        <v/>
      </c>
      <c r="AM229" s="20" t="str">
        <f aca="false">IF(AND(AC229="Sold",N(AA229)&gt;0,AE229&lt;&gt;""),1-AE229/AA229,"")</f>
        <v/>
      </c>
      <c r="AN229" s="21" t="str">
        <f aca="true">IF(AND(AC229&lt;&gt;"Sold",AC229&lt;&gt;"",Z229&lt;&gt;""),TODAY()-Z229,"")</f>
        <v/>
      </c>
      <c r="AO229" s="4"/>
      <c r="AP229" s="4"/>
    </row>
    <row r="230" customFormat="false" ht="1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14"/>
      <c r="O230" s="15"/>
      <c r="P230" s="16"/>
      <c r="Q230" s="4"/>
      <c r="R230" s="17"/>
      <c r="S230" s="18" t="str">
        <f aca="false">IF(OR(P230="",R230=""),"",P230*R230)</f>
        <v/>
      </c>
      <c r="T230" s="14"/>
      <c r="U230" s="14"/>
      <c r="V230" s="14"/>
      <c r="W230" s="14"/>
      <c r="X230" s="18" t="str">
        <f aca="false">IF(S230="","",S230+N(T230)+N(U230)+N(V230)+N(W230))</f>
        <v/>
      </c>
      <c r="Y230" s="4"/>
      <c r="Z230" s="15"/>
      <c r="AA230" s="14"/>
      <c r="AB230" s="19"/>
      <c r="AC230" s="4"/>
      <c r="AD230" s="15"/>
      <c r="AE230" s="14"/>
      <c r="AF230" s="14"/>
      <c r="AG230" s="14"/>
      <c r="AH230" s="18" t="str">
        <f aca="false">IF(AND(AC230="Sold",AE230&lt;&gt;"",AF230&lt;&gt;""),AE230-AF230,"")</f>
        <v/>
      </c>
      <c r="AI230" s="18" t="str">
        <f aca="false">IF(AND(AC230="Sold",AF230&lt;&gt;"",X230&lt;&gt;""),AF230-N(AG230)-X230,"")</f>
        <v/>
      </c>
      <c r="AJ230" s="20" t="str">
        <f aca="false">IF(AND(AI230&lt;&gt;"",N(AE230)&gt;0),AI230/AE230,"")</f>
        <v/>
      </c>
      <c r="AK230" s="20" t="str">
        <f aca="false">IF(AND(AI230&lt;&gt;"",N(X230)&gt;0),AI230/X230,"")</f>
        <v/>
      </c>
      <c r="AL230" s="21" t="str">
        <f aca="false">IF(AND(AC230="Sold",AD230&lt;&gt;"",Z230&lt;&gt;""),AD230-Z230,"")</f>
        <v/>
      </c>
      <c r="AM230" s="20" t="str">
        <f aca="false">IF(AND(AC230="Sold",N(AA230)&gt;0,AE230&lt;&gt;""),1-AE230/AA230,"")</f>
        <v/>
      </c>
      <c r="AN230" s="21" t="str">
        <f aca="true">IF(AND(AC230&lt;&gt;"Sold",AC230&lt;&gt;"",Z230&lt;&gt;""),TODAY()-Z230,"")</f>
        <v/>
      </c>
      <c r="AO230" s="4"/>
      <c r="AP230" s="4"/>
    </row>
    <row r="231" customFormat="false" ht="1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14"/>
      <c r="O231" s="15"/>
      <c r="P231" s="16"/>
      <c r="Q231" s="4"/>
      <c r="R231" s="17"/>
      <c r="S231" s="18" t="str">
        <f aca="false">IF(OR(P231="",R231=""),"",P231*R231)</f>
        <v/>
      </c>
      <c r="T231" s="14"/>
      <c r="U231" s="14"/>
      <c r="V231" s="14"/>
      <c r="W231" s="14"/>
      <c r="X231" s="18" t="str">
        <f aca="false">IF(S231="","",S231+N(T231)+N(U231)+N(V231)+N(W231))</f>
        <v/>
      </c>
      <c r="Y231" s="4"/>
      <c r="Z231" s="15"/>
      <c r="AA231" s="14"/>
      <c r="AB231" s="19"/>
      <c r="AC231" s="4"/>
      <c r="AD231" s="15"/>
      <c r="AE231" s="14"/>
      <c r="AF231" s="14"/>
      <c r="AG231" s="14"/>
      <c r="AH231" s="18" t="str">
        <f aca="false">IF(AND(AC231="Sold",AE231&lt;&gt;"",AF231&lt;&gt;""),AE231-AF231,"")</f>
        <v/>
      </c>
      <c r="AI231" s="18" t="str">
        <f aca="false">IF(AND(AC231="Sold",AF231&lt;&gt;"",X231&lt;&gt;""),AF231-N(AG231)-X231,"")</f>
        <v/>
      </c>
      <c r="AJ231" s="20" t="str">
        <f aca="false">IF(AND(AI231&lt;&gt;"",N(AE231)&gt;0),AI231/AE231,"")</f>
        <v/>
      </c>
      <c r="AK231" s="20" t="str">
        <f aca="false">IF(AND(AI231&lt;&gt;"",N(X231)&gt;0),AI231/X231,"")</f>
        <v/>
      </c>
      <c r="AL231" s="21" t="str">
        <f aca="false">IF(AND(AC231="Sold",AD231&lt;&gt;"",Z231&lt;&gt;""),AD231-Z231,"")</f>
        <v/>
      </c>
      <c r="AM231" s="20" t="str">
        <f aca="false">IF(AND(AC231="Sold",N(AA231)&gt;0,AE231&lt;&gt;""),1-AE231/AA231,"")</f>
        <v/>
      </c>
      <c r="AN231" s="21" t="str">
        <f aca="true">IF(AND(AC231&lt;&gt;"Sold",AC231&lt;&gt;"",Z231&lt;&gt;""),TODAY()-Z231,"")</f>
        <v/>
      </c>
      <c r="AO231" s="4"/>
      <c r="AP231" s="4"/>
    </row>
    <row r="232" customFormat="false" ht="1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14"/>
      <c r="O232" s="15"/>
      <c r="P232" s="16"/>
      <c r="Q232" s="4"/>
      <c r="R232" s="17"/>
      <c r="S232" s="18" t="str">
        <f aca="false">IF(OR(P232="",R232=""),"",P232*R232)</f>
        <v/>
      </c>
      <c r="T232" s="14"/>
      <c r="U232" s="14"/>
      <c r="V232" s="14"/>
      <c r="W232" s="14"/>
      <c r="X232" s="18" t="str">
        <f aca="false">IF(S232="","",S232+N(T232)+N(U232)+N(V232)+N(W232))</f>
        <v/>
      </c>
      <c r="Y232" s="4"/>
      <c r="Z232" s="15"/>
      <c r="AA232" s="14"/>
      <c r="AB232" s="19"/>
      <c r="AC232" s="4"/>
      <c r="AD232" s="15"/>
      <c r="AE232" s="14"/>
      <c r="AF232" s="14"/>
      <c r="AG232" s="14"/>
      <c r="AH232" s="18" t="str">
        <f aca="false">IF(AND(AC232="Sold",AE232&lt;&gt;"",AF232&lt;&gt;""),AE232-AF232,"")</f>
        <v/>
      </c>
      <c r="AI232" s="18" t="str">
        <f aca="false">IF(AND(AC232="Sold",AF232&lt;&gt;"",X232&lt;&gt;""),AF232-N(AG232)-X232,"")</f>
        <v/>
      </c>
      <c r="AJ232" s="20" t="str">
        <f aca="false">IF(AND(AI232&lt;&gt;"",N(AE232)&gt;0),AI232/AE232,"")</f>
        <v/>
      </c>
      <c r="AK232" s="20" t="str">
        <f aca="false">IF(AND(AI232&lt;&gt;"",N(X232)&gt;0),AI232/X232,"")</f>
        <v/>
      </c>
      <c r="AL232" s="21" t="str">
        <f aca="false">IF(AND(AC232="Sold",AD232&lt;&gt;"",Z232&lt;&gt;""),AD232-Z232,"")</f>
        <v/>
      </c>
      <c r="AM232" s="20" t="str">
        <f aca="false">IF(AND(AC232="Sold",N(AA232)&gt;0,AE232&lt;&gt;""),1-AE232/AA232,"")</f>
        <v/>
      </c>
      <c r="AN232" s="21" t="str">
        <f aca="true">IF(AND(AC232&lt;&gt;"Sold",AC232&lt;&gt;"",Z232&lt;&gt;""),TODAY()-Z232,"")</f>
        <v/>
      </c>
      <c r="AO232" s="4"/>
      <c r="AP232" s="4"/>
    </row>
    <row r="233" customFormat="false" ht="1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14"/>
      <c r="O233" s="15"/>
      <c r="P233" s="16"/>
      <c r="Q233" s="4"/>
      <c r="R233" s="17"/>
      <c r="S233" s="18" t="str">
        <f aca="false">IF(OR(P233="",R233=""),"",P233*R233)</f>
        <v/>
      </c>
      <c r="T233" s="14"/>
      <c r="U233" s="14"/>
      <c r="V233" s="14"/>
      <c r="W233" s="14"/>
      <c r="X233" s="18" t="str">
        <f aca="false">IF(S233="","",S233+N(T233)+N(U233)+N(V233)+N(W233))</f>
        <v/>
      </c>
      <c r="Y233" s="4"/>
      <c r="Z233" s="15"/>
      <c r="AA233" s="14"/>
      <c r="AB233" s="19"/>
      <c r="AC233" s="4"/>
      <c r="AD233" s="15"/>
      <c r="AE233" s="14"/>
      <c r="AF233" s="14"/>
      <c r="AG233" s="14"/>
      <c r="AH233" s="18" t="str">
        <f aca="false">IF(AND(AC233="Sold",AE233&lt;&gt;"",AF233&lt;&gt;""),AE233-AF233,"")</f>
        <v/>
      </c>
      <c r="AI233" s="18" t="str">
        <f aca="false">IF(AND(AC233="Sold",AF233&lt;&gt;"",X233&lt;&gt;""),AF233-N(AG233)-X233,"")</f>
        <v/>
      </c>
      <c r="AJ233" s="20" t="str">
        <f aca="false">IF(AND(AI233&lt;&gt;"",N(AE233)&gt;0),AI233/AE233,"")</f>
        <v/>
      </c>
      <c r="AK233" s="20" t="str">
        <f aca="false">IF(AND(AI233&lt;&gt;"",N(X233)&gt;0),AI233/X233,"")</f>
        <v/>
      </c>
      <c r="AL233" s="21" t="str">
        <f aca="false">IF(AND(AC233="Sold",AD233&lt;&gt;"",Z233&lt;&gt;""),AD233-Z233,"")</f>
        <v/>
      </c>
      <c r="AM233" s="20" t="str">
        <f aca="false">IF(AND(AC233="Sold",N(AA233)&gt;0,AE233&lt;&gt;""),1-AE233/AA233,"")</f>
        <v/>
      </c>
      <c r="AN233" s="21" t="str">
        <f aca="true">IF(AND(AC233&lt;&gt;"Sold",AC233&lt;&gt;"",Z233&lt;&gt;""),TODAY()-Z233,"")</f>
        <v/>
      </c>
      <c r="AO233" s="4"/>
      <c r="AP233" s="4"/>
    </row>
    <row r="234" customFormat="false" ht="1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14"/>
      <c r="O234" s="15"/>
      <c r="P234" s="16"/>
      <c r="Q234" s="4"/>
      <c r="R234" s="17"/>
      <c r="S234" s="18" t="str">
        <f aca="false">IF(OR(P234="",R234=""),"",P234*R234)</f>
        <v/>
      </c>
      <c r="T234" s="14"/>
      <c r="U234" s="14"/>
      <c r="V234" s="14"/>
      <c r="W234" s="14"/>
      <c r="X234" s="18" t="str">
        <f aca="false">IF(S234="","",S234+N(T234)+N(U234)+N(V234)+N(W234))</f>
        <v/>
      </c>
      <c r="Y234" s="4"/>
      <c r="Z234" s="15"/>
      <c r="AA234" s="14"/>
      <c r="AB234" s="19"/>
      <c r="AC234" s="4"/>
      <c r="AD234" s="15"/>
      <c r="AE234" s="14"/>
      <c r="AF234" s="14"/>
      <c r="AG234" s="14"/>
      <c r="AH234" s="18" t="str">
        <f aca="false">IF(AND(AC234="Sold",AE234&lt;&gt;"",AF234&lt;&gt;""),AE234-AF234,"")</f>
        <v/>
      </c>
      <c r="AI234" s="18" t="str">
        <f aca="false">IF(AND(AC234="Sold",AF234&lt;&gt;"",X234&lt;&gt;""),AF234-N(AG234)-X234,"")</f>
        <v/>
      </c>
      <c r="AJ234" s="20" t="str">
        <f aca="false">IF(AND(AI234&lt;&gt;"",N(AE234)&gt;0),AI234/AE234,"")</f>
        <v/>
      </c>
      <c r="AK234" s="20" t="str">
        <f aca="false">IF(AND(AI234&lt;&gt;"",N(X234)&gt;0),AI234/X234,"")</f>
        <v/>
      </c>
      <c r="AL234" s="21" t="str">
        <f aca="false">IF(AND(AC234="Sold",AD234&lt;&gt;"",Z234&lt;&gt;""),AD234-Z234,"")</f>
        <v/>
      </c>
      <c r="AM234" s="20" t="str">
        <f aca="false">IF(AND(AC234="Sold",N(AA234)&gt;0,AE234&lt;&gt;""),1-AE234/AA234,"")</f>
        <v/>
      </c>
      <c r="AN234" s="21" t="str">
        <f aca="true">IF(AND(AC234&lt;&gt;"Sold",AC234&lt;&gt;"",Z234&lt;&gt;""),TODAY()-Z234,"")</f>
        <v/>
      </c>
      <c r="AO234" s="4"/>
      <c r="AP234" s="4"/>
    </row>
    <row r="235" customFormat="false" ht="1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14"/>
      <c r="O235" s="15"/>
      <c r="P235" s="16"/>
      <c r="Q235" s="4"/>
      <c r="R235" s="17"/>
      <c r="S235" s="18" t="str">
        <f aca="false">IF(OR(P235="",R235=""),"",P235*R235)</f>
        <v/>
      </c>
      <c r="T235" s="14"/>
      <c r="U235" s="14"/>
      <c r="V235" s="14"/>
      <c r="W235" s="14"/>
      <c r="X235" s="18" t="str">
        <f aca="false">IF(S235="","",S235+N(T235)+N(U235)+N(V235)+N(W235))</f>
        <v/>
      </c>
      <c r="Y235" s="4"/>
      <c r="Z235" s="15"/>
      <c r="AA235" s="14"/>
      <c r="AB235" s="19"/>
      <c r="AC235" s="4"/>
      <c r="AD235" s="15"/>
      <c r="AE235" s="14"/>
      <c r="AF235" s="14"/>
      <c r="AG235" s="14"/>
      <c r="AH235" s="18" t="str">
        <f aca="false">IF(AND(AC235="Sold",AE235&lt;&gt;"",AF235&lt;&gt;""),AE235-AF235,"")</f>
        <v/>
      </c>
      <c r="AI235" s="18" t="str">
        <f aca="false">IF(AND(AC235="Sold",AF235&lt;&gt;"",X235&lt;&gt;""),AF235-N(AG235)-X235,"")</f>
        <v/>
      </c>
      <c r="AJ235" s="20" t="str">
        <f aca="false">IF(AND(AI235&lt;&gt;"",N(AE235)&gt;0),AI235/AE235,"")</f>
        <v/>
      </c>
      <c r="AK235" s="20" t="str">
        <f aca="false">IF(AND(AI235&lt;&gt;"",N(X235)&gt;0),AI235/X235,"")</f>
        <v/>
      </c>
      <c r="AL235" s="21" t="str">
        <f aca="false">IF(AND(AC235="Sold",AD235&lt;&gt;"",Z235&lt;&gt;""),AD235-Z235,"")</f>
        <v/>
      </c>
      <c r="AM235" s="20" t="str">
        <f aca="false">IF(AND(AC235="Sold",N(AA235)&gt;0,AE235&lt;&gt;""),1-AE235/AA235,"")</f>
        <v/>
      </c>
      <c r="AN235" s="21" t="str">
        <f aca="true">IF(AND(AC235&lt;&gt;"Sold",AC235&lt;&gt;"",Z235&lt;&gt;""),TODAY()-Z235,"")</f>
        <v/>
      </c>
      <c r="AO235" s="4"/>
      <c r="AP235" s="4"/>
    </row>
    <row r="236" customFormat="false" ht="1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14"/>
      <c r="O236" s="15"/>
      <c r="P236" s="16"/>
      <c r="Q236" s="4"/>
      <c r="R236" s="17"/>
      <c r="S236" s="18" t="str">
        <f aca="false">IF(OR(P236="",R236=""),"",P236*R236)</f>
        <v/>
      </c>
      <c r="T236" s="14"/>
      <c r="U236" s="14"/>
      <c r="V236" s="14"/>
      <c r="W236" s="14"/>
      <c r="X236" s="18" t="str">
        <f aca="false">IF(S236="","",S236+N(T236)+N(U236)+N(V236)+N(W236))</f>
        <v/>
      </c>
      <c r="Y236" s="4"/>
      <c r="Z236" s="15"/>
      <c r="AA236" s="14"/>
      <c r="AB236" s="19"/>
      <c r="AC236" s="4"/>
      <c r="AD236" s="15"/>
      <c r="AE236" s="14"/>
      <c r="AF236" s="14"/>
      <c r="AG236" s="14"/>
      <c r="AH236" s="18" t="str">
        <f aca="false">IF(AND(AC236="Sold",AE236&lt;&gt;"",AF236&lt;&gt;""),AE236-AF236,"")</f>
        <v/>
      </c>
      <c r="AI236" s="18" t="str">
        <f aca="false">IF(AND(AC236="Sold",AF236&lt;&gt;"",X236&lt;&gt;""),AF236-N(AG236)-X236,"")</f>
        <v/>
      </c>
      <c r="AJ236" s="20" t="str">
        <f aca="false">IF(AND(AI236&lt;&gt;"",N(AE236)&gt;0),AI236/AE236,"")</f>
        <v/>
      </c>
      <c r="AK236" s="20" t="str">
        <f aca="false">IF(AND(AI236&lt;&gt;"",N(X236)&gt;0),AI236/X236,"")</f>
        <v/>
      </c>
      <c r="AL236" s="21" t="str">
        <f aca="false">IF(AND(AC236="Sold",AD236&lt;&gt;"",Z236&lt;&gt;""),AD236-Z236,"")</f>
        <v/>
      </c>
      <c r="AM236" s="20" t="str">
        <f aca="false">IF(AND(AC236="Sold",N(AA236)&gt;0,AE236&lt;&gt;""),1-AE236/AA236,"")</f>
        <v/>
      </c>
      <c r="AN236" s="21" t="str">
        <f aca="true">IF(AND(AC236&lt;&gt;"Sold",AC236&lt;&gt;"",Z236&lt;&gt;""),TODAY()-Z236,"")</f>
        <v/>
      </c>
      <c r="AO236" s="4"/>
      <c r="AP236" s="4"/>
    </row>
    <row r="237" customFormat="false" ht="1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14"/>
      <c r="O237" s="15"/>
      <c r="P237" s="16"/>
      <c r="Q237" s="4"/>
      <c r="R237" s="17"/>
      <c r="S237" s="18" t="str">
        <f aca="false">IF(OR(P237="",R237=""),"",P237*R237)</f>
        <v/>
      </c>
      <c r="T237" s="14"/>
      <c r="U237" s="14"/>
      <c r="V237" s="14"/>
      <c r="W237" s="14"/>
      <c r="X237" s="18" t="str">
        <f aca="false">IF(S237="","",S237+N(T237)+N(U237)+N(V237)+N(W237))</f>
        <v/>
      </c>
      <c r="Y237" s="4"/>
      <c r="Z237" s="15"/>
      <c r="AA237" s="14"/>
      <c r="AB237" s="19"/>
      <c r="AC237" s="4"/>
      <c r="AD237" s="15"/>
      <c r="AE237" s="14"/>
      <c r="AF237" s="14"/>
      <c r="AG237" s="14"/>
      <c r="AH237" s="18" t="str">
        <f aca="false">IF(AND(AC237="Sold",AE237&lt;&gt;"",AF237&lt;&gt;""),AE237-AF237,"")</f>
        <v/>
      </c>
      <c r="AI237" s="18" t="str">
        <f aca="false">IF(AND(AC237="Sold",AF237&lt;&gt;"",X237&lt;&gt;""),AF237-N(AG237)-X237,"")</f>
        <v/>
      </c>
      <c r="AJ237" s="20" t="str">
        <f aca="false">IF(AND(AI237&lt;&gt;"",N(AE237)&gt;0),AI237/AE237,"")</f>
        <v/>
      </c>
      <c r="AK237" s="20" t="str">
        <f aca="false">IF(AND(AI237&lt;&gt;"",N(X237)&gt;0),AI237/X237,"")</f>
        <v/>
      </c>
      <c r="AL237" s="21" t="str">
        <f aca="false">IF(AND(AC237="Sold",AD237&lt;&gt;"",Z237&lt;&gt;""),AD237-Z237,"")</f>
        <v/>
      </c>
      <c r="AM237" s="20" t="str">
        <f aca="false">IF(AND(AC237="Sold",N(AA237)&gt;0,AE237&lt;&gt;""),1-AE237/AA237,"")</f>
        <v/>
      </c>
      <c r="AN237" s="21" t="str">
        <f aca="true">IF(AND(AC237&lt;&gt;"Sold",AC237&lt;&gt;"",Z237&lt;&gt;""),TODAY()-Z237,"")</f>
        <v/>
      </c>
      <c r="AO237" s="4"/>
      <c r="AP237" s="4"/>
    </row>
    <row r="238" customFormat="false" ht="1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14"/>
      <c r="O238" s="15"/>
      <c r="P238" s="16"/>
      <c r="Q238" s="4"/>
      <c r="R238" s="17"/>
      <c r="S238" s="18" t="str">
        <f aca="false">IF(OR(P238="",R238=""),"",P238*R238)</f>
        <v/>
      </c>
      <c r="T238" s="14"/>
      <c r="U238" s="14"/>
      <c r="V238" s="14"/>
      <c r="W238" s="14"/>
      <c r="X238" s="18" t="str">
        <f aca="false">IF(S238="","",S238+N(T238)+N(U238)+N(V238)+N(W238))</f>
        <v/>
      </c>
      <c r="Y238" s="4"/>
      <c r="Z238" s="15"/>
      <c r="AA238" s="14"/>
      <c r="AB238" s="19"/>
      <c r="AC238" s="4"/>
      <c r="AD238" s="15"/>
      <c r="AE238" s="14"/>
      <c r="AF238" s="14"/>
      <c r="AG238" s="14"/>
      <c r="AH238" s="18" t="str">
        <f aca="false">IF(AND(AC238="Sold",AE238&lt;&gt;"",AF238&lt;&gt;""),AE238-AF238,"")</f>
        <v/>
      </c>
      <c r="AI238" s="18" t="str">
        <f aca="false">IF(AND(AC238="Sold",AF238&lt;&gt;"",X238&lt;&gt;""),AF238-N(AG238)-X238,"")</f>
        <v/>
      </c>
      <c r="AJ238" s="20" t="str">
        <f aca="false">IF(AND(AI238&lt;&gt;"",N(AE238)&gt;0),AI238/AE238,"")</f>
        <v/>
      </c>
      <c r="AK238" s="20" t="str">
        <f aca="false">IF(AND(AI238&lt;&gt;"",N(X238)&gt;0),AI238/X238,"")</f>
        <v/>
      </c>
      <c r="AL238" s="21" t="str">
        <f aca="false">IF(AND(AC238="Sold",AD238&lt;&gt;"",Z238&lt;&gt;""),AD238-Z238,"")</f>
        <v/>
      </c>
      <c r="AM238" s="20" t="str">
        <f aca="false">IF(AND(AC238="Sold",N(AA238)&gt;0,AE238&lt;&gt;""),1-AE238/AA238,"")</f>
        <v/>
      </c>
      <c r="AN238" s="21" t="str">
        <f aca="true">IF(AND(AC238&lt;&gt;"Sold",AC238&lt;&gt;"",Z238&lt;&gt;""),TODAY()-Z238,"")</f>
        <v/>
      </c>
      <c r="AO238" s="4"/>
      <c r="AP238" s="4"/>
    </row>
    <row r="239" customFormat="false" ht="1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14"/>
      <c r="O239" s="15"/>
      <c r="P239" s="16"/>
      <c r="Q239" s="4"/>
      <c r="R239" s="17"/>
      <c r="S239" s="18" t="str">
        <f aca="false">IF(OR(P239="",R239=""),"",P239*R239)</f>
        <v/>
      </c>
      <c r="T239" s="14"/>
      <c r="U239" s="14"/>
      <c r="V239" s="14"/>
      <c r="W239" s="14"/>
      <c r="X239" s="18" t="str">
        <f aca="false">IF(S239="","",S239+N(T239)+N(U239)+N(V239)+N(W239))</f>
        <v/>
      </c>
      <c r="Y239" s="4"/>
      <c r="Z239" s="15"/>
      <c r="AA239" s="14"/>
      <c r="AB239" s="19"/>
      <c r="AC239" s="4"/>
      <c r="AD239" s="15"/>
      <c r="AE239" s="14"/>
      <c r="AF239" s="14"/>
      <c r="AG239" s="14"/>
      <c r="AH239" s="18" t="str">
        <f aca="false">IF(AND(AC239="Sold",AE239&lt;&gt;"",AF239&lt;&gt;""),AE239-AF239,"")</f>
        <v/>
      </c>
      <c r="AI239" s="18" t="str">
        <f aca="false">IF(AND(AC239="Sold",AF239&lt;&gt;"",X239&lt;&gt;""),AF239-N(AG239)-X239,"")</f>
        <v/>
      </c>
      <c r="AJ239" s="20" t="str">
        <f aca="false">IF(AND(AI239&lt;&gt;"",N(AE239)&gt;0),AI239/AE239,"")</f>
        <v/>
      </c>
      <c r="AK239" s="20" t="str">
        <f aca="false">IF(AND(AI239&lt;&gt;"",N(X239)&gt;0),AI239/X239,"")</f>
        <v/>
      </c>
      <c r="AL239" s="21" t="str">
        <f aca="false">IF(AND(AC239="Sold",AD239&lt;&gt;"",Z239&lt;&gt;""),AD239-Z239,"")</f>
        <v/>
      </c>
      <c r="AM239" s="20" t="str">
        <f aca="false">IF(AND(AC239="Sold",N(AA239)&gt;0,AE239&lt;&gt;""),1-AE239/AA239,"")</f>
        <v/>
      </c>
      <c r="AN239" s="21" t="str">
        <f aca="true">IF(AND(AC239&lt;&gt;"Sold",AC239&lt;&gt;"",Z239&lt;&gt;""),TODAY()-Z239,"")</f>
        <v/>
      </c>
      <c r="AO239" s="4"/>
      <c r="AP239" s="4"/>
    </row>
    <row r="240" customFormat="false" ht="1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14"/>
      <c r="O240" s="15"/>
      <c r="P240" s="16"/>
      <c r="Q240" s="4"/>
      <c r="R240" s="17"/>
      <c r="S240" s="18" t="str">
        <f aca="false">IF(OR(P240="",R240=""),"",P240*R240)</f>
        <v/>
      </c>
      <c r="T240" s="14"/>
      <c r="U240" s="14"/>
      <c r="V240" s="14"/>
      <c r="W240" s="14"/>
      <c r="X240" s="18" t="str">
        <f aca="false">IF(S240="","",S240+N(T240)+N(U240)+N(V240)+N(W240))</f>
        <v/>
      </c>
      <c r="Y240" s="4"/>
      <c r="Z240" s="15"/>
      <c r="AA240" s="14"/>
      <c r="AB240" s="19"/>
      <c r="AC240" s="4"/>
      <c r="AD240" s="15"/>
      <c r="AE240" s="14"/>
      <c r="AF240" s="14"/>
      <c r="AG240" s="14"/>
      <c r="AH240" s="18" t="str">
        <f aca="false">IF(AND(AC240="Sold",AE240&lt;&gt;"",AF240&lt;&gt;""),AE240-AF240,"")</f>
        <v/>
      </c>
      <c r="AI240" s="18" t="str">
        <f aca="false">IF(AND(AC240="Sold",AF240&lt;&gt;"",X240&lt;&gt;""),AF240-N(AG240)-X240,"")</f>
        <v/>
      </c>
      <c r="AJ240" s="20" t="str">
        <f aca="false">IF(AND(AI240&lt;&gt;"",N(AE240)&gt;0),AI240/AE240,"")</f>
        <v/>
      </c>
      <c r="AK240" s="20" t="str">
        <f aca="false">IF(AND(AI240&lt;&gt;"",N(X240)&gt;0),AI240/X240,"")</f>
        <v/>
      </c>
      <c r="AL240" s="21" t="str">
        <f aca="false">IF(AND(AC240="Sold",AD240&lt;&gt;"",Z240&lt;&gt;""),AD240-Z240,"")</f>
        <v/>
      </c>
      <c r="AM240" s="20" t="str">
        <f aca="false">IF(AND(AC240="Sold",N(AA240)&gt;0,AE240&lt;&gt;""),1-AE240/AA240,"")</f>
        <v/>
      </c>
      <c r="AN240" s="21" t="str">
        <f aca="true">IF(AND(AC240&lt;&gt;"Sold",AC240&lt;&gt;"",Z240&lt;&gt;""),TODAY()-Z240,"")</f>
        <v/>
      </c>
      <c r="AO240" s="4"/>
      <c r="AP240" s="4"/>
    </row>
    <row r="241" customFormat="false" ht="1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14"/>
      <c r="O241" s="15"/>
      <c r="P241" s="16"/>
      <c r="Q241" s="4"/>
      <c r="R241" s="17"/>
      <c r="S241" s="18" t="str">
        <f aca="false">IF(OR(P241="",R241=""),"",P241*R241)</f>
        <v/>
      </c>
      <c r="T241" s="14"/>
      <c r="U241" s="14"/>
      <c r="V241" s="14"/>
      <c r="W241" s="14"/>
      <c r="X241" s="18" t="str">
        <f aca="false">IF(S241="","",S241+N(T241)+N(U241)+N(V241)+N(W241))</f>
        <v/>
      </c>
      <c r="Y241" s="4"/>
      <c r="Z241" s="15"/>
      <c r="AA241" s="14"/>
      <c r="AB241" s="19"/>
      <c r="AC241" s="4"/>
      <c r="AD241" s="15"/>
      <c r="AE241" s="14"/>
      <c r="AF241" s="14"/>
      <c r="AG241" s="14"/>
      <c r="AH241" s="18" t="str">
        <f aca="false">IF(AND(AC241="Sold",AE241&lt;&gt;"",AF241&lt;&gt;""),AE241-AF241,"")</f>
        <v/>
      </c>
      <c r="AI241" s="18" t="str">
        <f aca="false">IF(AND(AC241="Sold",AF241&lt;&gt;"",X241&lt;&gt;""),AF241-N(AG241)-X241,"")</f>
        <v/>
      </c>
      <c r="AJ241" s="20" t="str">
        <f aca="false">IF(AND(AI241&lt;&gt;"",N(AE241)&gt;0),AI241/AE241,"")</f>
        <v/>
      </c>
      <c r="AK241" s="20" t="str">
        <f aca="false">IF(AND(AI241&lt;&gt;"",N(X241)&gt;0),AI241/X241,"")</f>
        <v/>
      </c>
      <c r="AL241" s="21" t="str">
        <f aca="false">IF(AND(AC241="Sold",AD241&lt;&gt;"",Z241&lt;&gt;""),AD241-Z241,"")</f>
        <v/>
      </c>
      <c r="AM241" s="20" t="str">
        <f aca="false">IF(AND(AC241="Sold",N(AA241)&gt;0,AE241&lt;&gt;""),1-AE241/AA241,"")</f>
        <v/>
      </c>
      <c r="AN241" s="21" t="str">
        <f aca="true">IF(AND(AC241&lt;&gt;"Sold",AC241&lt;&gt;"",Z241&lt;&gt;""),TODAY()-Z241,"")</f>
        <v/>
      </c>
      <c r="AO241" s="4"/>
      <c r="AP241" s="4"/>
    </row>
    <row r="242" customFormat="false" ht="1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14"/>
      <c r="O242" s="15"/>
      <c r="P242" s="16"/>
      <c r="Q242" s="4"/>
      <c r="R242" s="17"/>
      <c r="S242" s="18" t="str">
        <f aca="false">IF(OR(P242="",R242=""),"",P242*R242)</f>
        <v/>
      </c>
      <c r="T242" s="14"/>
      <c r="U242" s="14"/>
      <c r="V242" s="14"/>
      <c r="W242" s="14"/>
      <c r="X242" s="18" t="str">
        <f aca="false">IF(S242="","",S242+N(T242)+N(U242)+N(V242)+N(W242))</f>
        <v/>
      </c>
      <c r="Y242" s="4"/>
      <c r="Z242" s="15"/>
      <c r="AA242" s="14"/>
      <c r="AB242" s="19"/>
      <c r="AC242" s="4"/>
      <c r="AD242" s="15"/>
      <c r="AE242" s="14"/>
      <c r="AF242" s="14"/>
      <c r="AG242" s="14"/>
      <c r="AH242" s="18" t="str">
        <f aca="false">IF(AND(AC242="Sold",AE242&lt;&gt;"",AF242&lt;&gt;""),AE242-AF242,"")</f>
        <v/>
      </c>
      <c r="AI242" s="18" t="str">
        <f aca="false">IF(AND(AC242="Sold",AF242&lt;&gt;"",X242&lt;&gt;""),AF242-N(AG242)-X242,"")</f>
        <v/>
      </c>
      <c r="AJ242" s="20" t="str">
        <f aca="false">IF(AND(AI242&lt;&gt;"",N(AE242)&gt;0),AI242/AE242,"")</f>
        <v/>
      </c>
      <c r="AK242" s="20" t="str">
        <f aca="false">IF(AND(AI242&lt;&gt;"",N(X242)&gt;0),AI242/X242,"")</f>
        <v/>
      </c>
      <c r="AL242" s="21" t="str">
        <f aca="false">IF(AND(AC242="Sold",AD242&lt;&gt;"",Z242&lt;&gt;""),AD242-Z242,"")</f>
        <v/>
      </c>
      <c r="AM242" s="20" t="str">
        <f aca="false">IF(AND(AC242="Sold",N(AA242)&gt;0,AE242&lt;&gt;""),1-AE242/AA242,"")</f>
        <v/>
      </c>
      <c r="AN242" s="21" t="str">
        <f aca="true">IF(AND(AC242&lt;&gt;"Sold",AC242&lt;&gt;"",Z242&lt;&gt;""),TODAY()-Z242,"")</f>
        <v/>
      </c>
      <c r="AO242" s="4"/>
      <c r="AP242" s="4"/>
    </row>
    <row r="243" customFormat="false" ht="1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14"/>
      <c r="O243" s="15"/>
      <c r="P243" s="16"/>
      <c r="Q243" s="4"/>
      <c r="R243" s="17"/>
      <c r="S243" s="18" t="str">
        <f aca="false">IF(OR(P243="",R243=""),"",P243*R243)</f>
        <v/>
      </c>
      <c r="T243" s="14"/>
      <c r="U243" s="14"/>
      <c r="V243" s="14"/>
      <c r="W243" s="14"/>
      <c r="X243" s="18" t="str">
        <f aca="false">IF(S243="","",S243+N(T243)+N(U243)+N(V243)+N(W243))</f>
        <v/>
      </c>
      <c r="Y243" s="4"/>
      <c r="Z243" s="15"/>
      <c r="AA243" s="14"/>
      <c r="AB243" s="19"/>
      <c r="AC243" s="4"/>
      <c r="AD243" s="15"/>
      <c r="AE243" s="14"/>
      <c r="AF243" s="14"/>
      <c r="AG243" s="14"/>
      <c r="AH243" s="18" t="str">
        <f aca="false">IF(AND(AC243="Sold",AE243&lt;&gt;"",AF243&lt;&gt;""),AE243-AF243,"")</f>
        <v/>
      </c>
      <c r="AI243" s="18" t="str">
        <f aca="false">IF(AND(AC243="Sold",AF243&lt;&gt;"",X243&lt;&gt;""),AF243-N(AG243)-X243,"")</f>
        <v/>
      </c>
      <c r="AJ243" s="20" t="str">
        <f aca="false">IF(AND(AI243&lt;&gt;"",N(AE243)&gt;0),AI243/AE243,"")</f>
        <v/>
      </c>
      <c r="AK243" s="20" t="str">
        <f aca="false">IF(AND(AI243&lt;&gt;"",N(X243)&gt;0),AI243/X243,"")</f>
        <v/>
      </c>
      <c r="AL243" s="21" t="str">
        <f aca="false">IF(AND(AC243="Sold",AD243&lt;&gt;"",Z243&lt;&gt;""),AD243-Z243,"")</f>
        <v/>
      </c>
      <c r="AM243" s="20" t="str">
        <f aca="false">IF(AND(AC243="Sold",N(AA243)&gt;0,AE243&lt;&gt;""),1-AE243/AA243,"")</f>
        <v/>
      </c>
      <c r="AN243" s="21" t="str">
        <f aca="true">IF(AND(AC243&lt;&gt;"Sold",AC243&lt;&gt;"",Z243&lt;&gt;""),TODAY()-Z243,"")</f>
        <v/>
      </c>
      <c r="AO243" s="4"/>
      <c r="AP243" s="4"/>
    </row>
    <row r="244" customFormat="false" ht="1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14"/>
      <c r="O244" s="15"/>
      <c r="P244" s="16"/>
      <c r="Q244" s="4"/>
      <c r="R244" s="17"/>
      <c r="S244" s="18" t="str">
        <f aca="false">IF(OR(P244="",R244=""),"",P244*R244)</f>
        <v/>
      </c>
      <c r="T244" s="14"/>
      <c r="U244" s="14"/>
      <c r="V244" s="14"/>
      <c r="W244" s="14"/>
      <c r="X244" s="18" t="str">
        <f aca="false">IF(S244="","",S244+N(T244)+N(U244)+N(V244)+N(W244))</f>
        <v/>
      </c>
      <c r="Y244" s="4"/>
      <c r="Z244" s="15"/>
      <c r="AA244" s="14"/>
      <c r="AB244" s="19"/>
      <c r="AC244" s="4"/>
      <c r="AD244" s="15"/>
      <c r="AE244" s="14"/>
      <c r="AF244" s="14"/>
      <c r="AG244" s="14"/>
      <c r="AH244" s="18" t="str">
        <f aca="false">IF(AND(AC244="Sold",AE244&lt;&gt;"",AF244&lt;&gt;""),AE244-AF244,"")</f>
        <v/>
      </c>
      <c r="AI244" s="18" t="str">
        <f aca="false">IF(AND(AC244="Sold",AF244&lt;&gt;"",X244&lt;&gt;""),AF244-N(AG244)-X244,"")</f>
        <v/>
      </c>
      <c r="AJ244" s="20" t="str">
        <f aca="false">IF(AND(AI244&lt;&gt;"",N(AE244)&gt;0),AI244/AE244,"")</f>
        <v/>
      </c>
      <c r="AK244" s="20" t="str">
        <f aca="false">IF(AND(AI244&lt;&gt;"",N(X244)&gt;0),AI244/X244,"")</f>
        <v/>
      </c>
      <c r="AL244" s="21" t="str">
        <f aca="false">IF(AND(AC244="Sold",AD244&lt;&gt;"",Z244&lt;&gt;""),AD244-Z244,"")</f>
        <v/>
      </c>
      <c r="AM244" s="20" t="str">
        <f aca="false">IF(AND(AC244="Sold",N(AA244)&gt;0,AE244&lt;&gt;""),1-AE244/AA244,"")</f>
        <v/>
      </c>
      <c r="AN244" s="21" t="str">
        <f aca="true">IF(AND(AC244&lt;&gt;"Sold",AC244&lt;&gt;"",Z244&lt;&gt;""),TODAY()-Z244,"")</f>
        <v/>
      </c>
      <c r="AO244" s="4"/>
      <c r="AP244" s="4"/>
    </row>
    <row r="245" customFormat="false" ht="1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14"/>
      <c r="O245" s="15"/>
      <c r="P245" s="16"/>
      <c r="Q245" s="4"/>
      <c r="R245" s="17"/>
      <c r="S245" s="18" t="str">
        <f aca="false">IF(OR(P245="",R245=""),"",P245*R245)</f>
        <v/>
      </c>
      <c r="T245" s="14"/>
      <c r="U245" s="14"/>
      <c r="V245" s="14"/>
      <c r="W245" s="14"/>
      <c r="X245" s="18" t="str">
        <f aca="false">IF(S245="","",S245+N(T245)+N(U245)+N(V245)+N(W245))</f>
        <v/>
      </c>
      <c r="Y245" s="4"/>
      <c r="Z245" s="15"/>
      <c r="AA245" s="14"/>
      <c r="AB245" s="19"/>
      <c r="AC245" s="4"/>
      <c r="AD245" s="15"/>
      <c r="AE245" s="14"/>
      <c r="AF245" s="14"/>
      <c r="AG245" s="14"/>
      <c r="AH245" s="18" t="str">
        <f aca="false">IF(AND(AC245="Sold",AE245&lt;&gt;"",AF245&lt;&gt;""),AE245-AF245,"")</f>
        <v/>
      </c>
      <c r="AI245" s="18" t="str">
        <f aca="false">IF(AND(AC245="Sold",AF245&lt;&gt;"",X245&lt;&gt;""),AF245-N(AG245)-X245,"")</f>
        <v/>
      </c>
      <c r="AJ245" s="20" t="str">
        <f aca="false">IF(AND(AI245&lt;&gt;"",N(AE245)&gt;0),AI245/AE245,"")</f>
        <v/>
      </c>
      <c r="AK245" s="20" t="str">
        <f aca="false">IF(AND(AI245&lt;&gt;"",N(X245)&gt;0),AI245/X245,"")</f>
        <v/>
      </c>
      <c r="AL245" s="21" t="str">
        <f aca="false">IF(AND(AC245="Sold",AD245&lt;&gt;"",Z245&lt;&gt;""),AD245-Z245,"")</f>
        <v/>
      </c>
      <c r="AM245" s="20" t="str">
        <f aca="false">IF(AND(AC245="Sold",N(AA245)&gt;0,AE245&lt;&gt;""),1-AE245/AA245,"")</f>
        <v/>
      </c>
      <c r="AN245" s="21" t="str">
        <f aca="true">IF(AND(AC245&lt;&gt;"Sold",AC245&lt;&gt;"",Z245&lt;&gt;""),TODAY()-Z245,"")</f>
        <v/>
      </c>
      <c r="AO245" s="4"/>
      <c r="AP245" s="4"/>
    </row>
    <row r="246" customFormat="false" ht="1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14"/>
      <c r="O246" s="15"/>
      <c r="P246" s="16"/>
      <c r="Q246" s="4"/>
      <c r="R246" s="17"/>
      <c r="S246" s="18" t="str">
        <f aca="false">IF(OR(P246="",R246=""),"",P246*R246)</f>
        <v/>
      </c>
      <c r="T246" s="14"/>
      <c r="U246" s="14"/>
      <c r="V246" s="14"/>
      <c r="W246" s="14"/>
      <c r="X246" s="18" t="str">
        <f aca="false">IF(S246="","",S246+N(T246)+N(U246)+N(V246)+N(W246))</f>
        <v/>
      </c>
      <c r="Y246" s="4"/>
      <c r="Z246" s="15"/>
      <c r="AA246" s="14"/>
      <c r="AB246" s="19"/>
      <c r="AC246" s="4"/>
      <c r="AD246" s="15"/>
      <c r="AE246" s="14"/>
      <c r="AF246" s="14"/>
      <c r="AG246" s="14"/>
      <c r="AH246" s="18" t="str">
        <f aca="false">IF(AND(AC246="Sold",AE246&lt;&gt;"",AF246&lt;&gt;""),AE246-AF246,"")</f>
        <v/>
      </c>
      <c r="AI246" s="18" t="str">
        <f aca="false">IF(AND(AC246="Sold",AF246&lt;&gt;"",X246&lt;&gt;""),AF246-N(AG246)-X246,"")</f>
        <v/>
      </c>
      <c r="AJ246" s="20" t="str">
        <f aca="false">IF(AND(AI246&lt;&gt;"",N(AE246)&gt;0),AI246/AE246,"")</f>
        <v/>
      </c>
      <c r="AK246" s="20" t="str">
        <f aca="false">IF(AND(AI246&lt;&gt;"",N(X246)&gt;0),AI246/X246,"")</f>
        <v/>
      </c>
      <c r="AL246" s="21" t="str">
        <f aca="false">IF(AND(AC246="Sold",AD246&lt;&gt;"",Z246&lt;&gt;""),AD246-Z246,"")</f>
        <v/>
      </c>
      <c r="AM246" s="20" t="str">
        <f aca="false">IF(AND(AC246="Sold",N(AA246)&gt;0,AE246&lt;&gt;""),1-AE246/AA246,"")</f>
        <v/>
      </c>
      <c r="AN246" s="21" t="str">
        <f aca="true">IF(AND(AC246&lt;&gt;"Sold",AC246&lt;&gt;"",Z246&lt;&gt;""),TODAY()-Z246,"")</f>
        <v/>
      </c>
      <c r="AO246" s="4"/>
      <c r="AP246" s="4"/>
    </row>
    <row r="247" customFormat="false" ht="1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14"/>
      <c r="O247" s="15"/>
      <c r="P247" s="16"/>
      <c r="Q247" s="4"/>
      <c r="R247" s="17"/>
      <c r="S247" s="18" t="str">
        <f aca="false">IF(OR(P247="",R247=""),"",P247*R247)</f>
        <v/>
      </c>
      <c r="T247" s="14"/>
      <c r="U247" s="14"/>
      <c r="V247" s="14"/>
      <c r="W247" s="14"/>
      <c r="X247" s="18" t="str">
        <f aca="false">IF(S247="","",S247+N(T247)+N(U247)+N(V247)+N(W247))</f>
        <v/>
      </c>
      <c r="Y247" s="4"/>
      <c r="Z247" s="15"/>
      <c r="AA247" s="14"/>
      <c r="AB247" s="19"/>
      <c r="AC247" s="4"/>
      <c r="AD247" s="15"/>
      <c r="AE247" s="14"/>
      <c r="AF247" s="14"/>
      <c r="AG247" s="14"/>
      <c r="AH247" s="18" t="str">
        <f aca="false">IF(AND(AC247="Sold",AE247&lt;&gt;"",AF247&lt;&gt;""),AE247-AF247,"")</f>
        <v/>
      </c>
      <c r="AI247" s="18" t="str">
        <f aca="false">IF(AND(AC247="Sold",AF247&lt;&gt;"",X247&lt;&gt;""),AF247-N(AG247)-X247,"")</f>
        <v/>
      </c>
      <c r="AJ247" s="20" t="str">
        <f aca="false">IF(AND(AI247&lt;&gt;"",N(AE247)&gt;0),AI247/AE247,"")</f>
        <v/>
      </c>
      <c r="AK247" s="20" t="str">
        <f aca="false">IF(AND(AI247&lt;&gt;"",N(X247)&gt;0),AI247/X247,"")</f>
        <v/>
      </c>
      <c r="AL247" s="21" t="str">
        <f aca="false">IF(AND(AC247="Sold",AD247&lt;&gt;"",Z247&lt;&gt;""),AD247-Z247,"")</f>
        <v/>
      </c>
      <c r="AM247" s="20" t="str">
        <f aca="false">IF(AND(AC247="Sold",N(AA247)&gt;0,AE247&lt;&gt;""),1-AE247/AA247,"")</f>
        <v/>
      </c>
      <c r="AN247" s="21" t="str">
        <f aca="true">IF(AND(AC247&lt;&gt;"Sold",AC247&lt;&gt;"",Z247&lt;&gt;""),TODAY()-Z247,"")</f>
        <v/>
      </c>
      <c r="AO247" s="4"/>
      <c r="AP247" s="4"/>
    </row>
    <row r="248" customFormat="false" ht="1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4"/>
      <c r="O248" s="15"/>
      <c r="P248" s="16"/>
      <c r="Q248" s="4"/>
      <c r="R248" s="17"/>
      <c r="S248" s="18" t="str">
        <f aca="false">IF(OR(P248="",R248=""),"",P248*R248)</f>
        <v/>
      </c>
      <c r="T248" s="14"/>
      <c r="U248" s="14"/>
      <c r="V248" s="14"/>
      <c r="W248" s="14"/>
      <c r="X248" s="18" t="str">
        <f aca="false">IF(S248="","",S248+N(T248)+N(U248)+N(V248)+N(W248))</f>
        <v/>
      </c>
      <c r="Y248" s="4"/>
      <c r="Z248" s="15"/>
      <c r="AA248" s="14"/>
      <c r="AB248" s="19"/>
      <c r="AC248" s="4"/>
      <c r="AD248" s="15"/>
      <c r="AE248" s="14"/>
      <c r="AF248" s="14"/>
      <c r="AG248" s="14"/>
      <c r="AH248" s="18" t="str">
        <f aca="false">IF(AND(AC248="Sold",AE248&lt;&gt;"",AF248&lt;&gt;""),AE248-AF248,"")</f>
        <v/>
      </c>
      <c r="AI248" s="18" t="str">
        <f aca="false">IF(AND(AC248="Sold",AF248&lt;&gt;"",X248&lt;&gt;""),AF248-N(AG248)-X248,"")</f>
        <v/>
      </c>
      <c r="AJ248" s="20" t="str">
        <f aca="false">IF(AND(AI248&lt;&gt;"",N(AE248)&gt;0),AI248/AE248,"")</f>
        <v/>
      </c>
      <c r="AK248" s="20" t="str">
        <f aca="false">IF(AND(AI248&lt;&gt;"",N(X248)&gt;0),AI248/X248,"")</f>
        <v/>
      </c>
      <c r="AL248" s="21" t="str">
        <f aca="false">IF(AND(AC248="Sold",AD248&lt;&gt;"",Z248&lt;&gt;""),AD248-Z248,"")</f>
        <v/>
      </c>
      <c r="AM248" s="20" t="str">
        <f aca="false">IF(AND(AC248="Sold",N(AA248)&gt;0,AE248&lt;&gt;""),1-AE248/AA248,"")</f>
        <v/>
      </c>
      <c r="AN248" s="21" t="str">
        <f aca="true">IF(AND(AC248&lt;&gt;"Sold",AC248&lt;&gt;"",Z248&lt;&gt;""),TODAY()-Z248,"")</f>
        <v/>
      </c>
      <c r="AO248" s="4"/>
      <c r="AP248" s="4"/>
    </row>
    <row r="249" customFormat="false" ht="1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14"/>
      <c r="O249" s="15"/>
      <c r="P249" s="16"/>
      <c r="Q249" s="4"/>
      <c r="R249" s="17"/>
      <c r="S249" s="18" t="str">
        <f aca="false">IF(OR(P249="",R249=""),"",P249*R249)</f>
        <v/>
      </c>
      <c r="T249" s="14"/>
      <c r="U249" s="14"/>
      <c r="V249" s="14"/>
      <c r="W249" s="14"/>
      <c r="X249" s="18" t="str">
        <f aca="false">IF(S249="","",S249+N(T249)+N(U249)+N(V249)+N(W249))</f>
        <v/>
      </c>
      <c r="Y249" s="4"/>
      <c r="Z249" s="15"/>
      <c r="AA249" s="14"/>
      <c r="AB249" s="19"/>
      <c r="AC249" s="4"/>
      <c r="AD249" s="15"/>
      <c r="AE249" s="14"/>
      <c r="AF249" s="14"/>
      <c r="AG249" s="14"/>
      <c r="AH249" s="18" t="str">
        <f aca="false">IF(AND(AC249="Sold",AE249&lt;&gt;"",AF249&lt;&gt;""),AE249-AF249,"")</f>
        <v/>
      </c>
      <c r="AI249" s="18" t="str">
        <f aca="false">IF(AND(AC249="Sold",AF249&lt;&gt;"",X249&lt;&gt;""),AF249-N(AG249)-X249,"")</f>
        <v/>
      </c>
      <c r="AJ249" s="20" t="str">
        <f aca="false">IF(AND(AI249&lt;&gt;"",N(AE249)&gt;0),AI249/AE249,"")</f>
        <v/>
      </c>
      <c r="AK249" s="20" t="str">
        <f aca="false">IF(AND(AI249&lt;&gt;"",N(X249)&gt;0),AI249/X249,"")</f>
        <v/>
      </c>
      <c r="AL249" s="21" t="str">
        <f aca="false">IF(AND(AC249="Sold",AD249&lt;&gt;"",Z249&lt;&gt;""),AD249-Z249,"")</f>
        <v/>
      </c>
      <c r="AM249" s="20" t="str">
        <f aca="false">IF(AND(AC249="Sold",N(AA249)&gt;0,AE249&lt;&gt;""),1-AE249/AA249,"")</f>
        <v/>
      </c>
      <c r="AN249" s="21" t="str">
        <f aca="true">IF(AND(AC249&lt;&gt;"Sold",AC249&lt;&gt;"",Z249&lt;&gt;""),TODAY()-Z249,"")</f>
        <v/>
      </c>
      <c r="AO249" s="4"/>
      <c r="AP249" s="4"/>
    </row>
    <row r="250" customFormat="false" ht="1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14"/>
      <c r="O250" s="15"/>
      <c r="P250" s="16"/>
      <c r="Q250" s="4"/>
      <c r="R250" s="17"/>
      <c r="S250" s="18" t="str">
        <f aca="false">IF(OR(P250="",R250=""),"",P250*R250)</f>
        <v/>
      </c>
      <c r="T250" s="14"/>
      <c r="U250" s="14"/>
      <c r="V250" s="14"/>
      <c r="W250" s="14"/>
      <c r="X250" s="18" t="str">
        <f aca="false">IF(S250="","",S250+N(T250)+N(U250)+N(V250)+N(W250))</f>
        <v/>
      </c>
      <c r="Y250" s="4"/>
      <c r="Z250" s="15"/>
      <c r="AA250" s="14"/>
      <c r="AB250" s="19"/>
      <c r="AC250" s="4"/>
      <c r="AD250" s="15"/>
      <c r="AE250" s="14"/>
      <c r="AF250" s="14"/>
      <c r="AG250" s="14"/>
      <c r="AH250" s="18" t="str">
        <f aca="false">IF(AND(AC250="Sold",AE250&lt;&gt;"",AF250&lt;&gt;""),AE250-AF250,"")</f>
        <v/>
      </c>
      <c r="AI250" s="18" t="str">
        <f aca="false">IF(AND(AC250="Sold",AF250&lt;&gt;"",X250&lt;&gt;""),AF250-N(AG250)-X250,"")</f>
        <v/>
      </c>
      <c r="AJ250" s="20" t="str">
        <f aca="false">IF(AND(AI250&lt;&gt;"",N(AE250)&gt;0),AI250/AE250,"")</f>
        <v/>
      </c>
      <c r="AK250" s="20" t="str">
        <f aca="false">IF(AND(AI250&lt;&gt;"",N(X250)&gt;0),AI250/X250,"")</f>
        <v/>
      </c>
      <c r="AL250" s="21" t="str">
        <f aca="false">IF(AND(AC250="Sold",AD250&lt;&gt;"",Z250&lt;&gt;""),AD250-Z250,"")</f>
        <v/>
      </c>
      <c r="AM250" s="20" t="str">
        <f aca="false">IF(AND(AC250="Sold",N(AA250)&gt;0,AE250&lt;&gt;""),1-AE250/AA250,"")</f>
        <v/>
      </c>
      <c r="AN250" s="21" t="str">
        <f aca="true">IF(AND(AC250&lt;&gt;"Sold",AC250&lt;&gt;"",Z250&lt;&gt;""),TODAY()-Z250,"")</f>
        <v/>
      </c>
      <c r="AO250" s="4"/>
      <c r="AP250" s="4"/>
    </row>
    <row r="251" customFormat="false" ht="1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14"/>
      <c r="O251" s="15"/>
      <c r="P251" s="16"/>
      <c r="Q251" s="4"/>
      <c r="R251" s="17"/>
      <c r="S251" s="18" t="str">
        <f aca="false">IF(OR(P251="",R251=""),"",P251*R251)</f>
        <v/>
      </c>
      <c r="T251" s="14"/>
      <c r="U251" s="14"/>
      <c r="V251" s="14"/>
      <c r="W251" s="14"/>
      <c r="X251" s="18" t="str">
        <f aca="false">IF(S251="","",S251+N(T251)+N(U251)+N(V251)+N(W251))</f>
        <v/>
      </c>
      <c r="Y251" s="4"/>
      <c r="Z251" s="15"/>
      <c r="AA251" s="14"/>
      <c r="AB251" s="19"/>
      <c r="AC251" s="4"/>
      <c r="AD251" s="15"/>
      <c r="AE251" s="14"/>
      <c r="AF251" s="14"/>
      <c r="AG251" s="14"/>
      <c r="AH251" s="18" t="str">
        <f aca="false">IF(AND(AC251="Sold",AE251&lt;&gt;"",AF251&lt;&gt;""),AE251-AF251,"")</f>
        <v/>
      </c>
      <c r="AI251" s="18" t="str">
        <f aca="false">IF(AND(AC251="Sold",AF251&lt;&gt;"",X251&lt;&gt;""),AF251-N(AG251)-X251,"")</f>
        <v/>
      </c>
      <c r="AJ251" s="20" t="str">
        <f aca="false">IF(AND(AI251&lt;&gt;"",N(AE251)&gt;0),AI251/AE251,"")</f>
        <v/>
      </c>
      <c r="AK251" s="20" t="str">
        <f aca="false">IF(AND(AI251&lt;&gt;"",N(X251)&gt;0),AI251/X251,"")</f>
        <v/>
      </c>
      <c r="AL251" s="21" t="str">
        <f aca="false">IF(AND(AC251="Sold",AD251&lt;&gt;"",Z251&lt;&gt;""),AD251-Z251,"")</f>
        <v/>
      </c>
      <c r="AM251" s="20" t="str">
        <f aca="false">IF(AND(AC251="Sold",N(AA251)&gt;0,AE251&lt;&gt;""),1-AE251/AA251,"")</f>
        <v/>
      </c>
      <c r="AN251" s="21" t="str">
        <f aca="true">IF(AND(AC251&lt;&gt;"Sold",AC251&lt;&gt;"",Z251&lt;&gt;""),TODAY()-Z251,"")</f>
        <v/>
      </c>
      <c r="AO251" s="4"/>
      <c r="AP251" s="4"/>
    </row>
    <row r="252" customFormat="false" ht="1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14"/>
      <c r="O252" s="15"/>
      <c r="P252" s="16"/>
      <c r="Q252" s="4"/>
      <c r="R252" s="17"/>
      <c r="S252" s="18" t="str">
        <f aca="false">IF(OR(P252="",R252=""),"",P252*R252)</f>
        <v/>
      </c>
      <c r="T252" s="14"/>
      <c r="U252" s="14"/>
      <c r="V252" s="14"/>
      <c r="W252" s="14"/>
      <c r="X252" s="18" t="str">
        <f aca="false">IF(S252="","",S252+N(T252)+N(U252)+N(V252)+N(W252))</f>
        <v/>
      </c>
      <c r="Y252" s="4"/>
      <c r="Z252" s="15"/>
      <c r="AA252" s="14"/>
      <c r="AB252" s="19"/>
      <c r="AC252" s="4"/>
      <c r="AD252" s="15"/>
      <c r="AE252" s="14"/>
      <c r="AF252" s="14"/>
      <c r="AG252" s="14"/>
      <c r="AH252" s="18" t="str">
        <f aca="false">IF(AND(AC252="Sold",AE252&lt;&gt;"",AF252&lt;&gt;""),AE252-AF252,"")</f>
        <v/>
      </c>
      <c r="AI252" s="18" t="str">
        <f aca="false">IF(AND(AC252="Sold",AF252&lt;&gt;"",X252&lt;&gt;""),AF252-N(AG252)-X252,"")</f>
        <v/>
      </c>
      <c r="AJ252" s="20" t="str">
        <f aca="false">IF(AND(AI252&lt;&gt;"",N(AE252)&gt;0),AI252/AE252,"")</f>
        <v/>
      </c>
      <c r="AK252" s="20" t="str">
        <f aca="false">IF(AND(AI252&lt;&gt;"",N(X252)&gt;0),AI252/X252,"")</f>
        <v/>
      </c>
      <c r="AL252" s="21" t="str">
        <f aca="false">IF(AND(AC252="Sold",AD252&lt;&gt;"",Z252&lt;&gt;""),AD252-Z252,"")</f>
        <v/>
      </c>
      <c r="AM252" s="20" t="str">
        <f aca="false">IF(AND(AC252="Sold",N(AA252)&gt;0,AE252&lt;&gt;""),1-AE252/AA252,"")</f>
        <v/>
      </c>
      <c r="AN252" s="21" t="str">
        <f aca="true">IF(AND(AC252&lt;&gt;"Sold",AC252&lt;&gt;"",Z252&lt;&gt;""),TODAY()-Z252,"")</f>
        <v/>
      </c>
      <c r="AO252" s="4"/>
      <c r="AP252" s="4"/>
    </row>
    <row r="253" customFormat="false" ht="1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14"/>
      <c r="O253" s="15"/>
      <c r="P253" s="16"/>
      <c r="Q253" s="4"/>
      <c r="R253" s="17"/>
      <c r="S253" s="18" t="str">
        <f aca="false">IF(OR(P253="",R253=""),"",P253*R253)</f>
        <v/>
      </c>
      <c r="T253" s="14"/>
      <c r="U253" s="14"/>
      <c r="V253" s="14"/>
      <c r="W253" s="14"/>
      <c r="X253" s="18" t="str">
        <f aca="false">IF(S253="","",S253+N(T253)+N(U253)+N(V253)+N(W253))</f>
        <v/>
      </c>
      <c r="Y253" s="4"/>
      <c r="Z253" s="15"/>
      <c r="AA253" s="14"/>
      <c r="AB253" s="19"/>
      <c r="AC253" s="4"/>
      <c r="AD253" s="15"/>
      <c r="AE253" s="14"/>
      <c r="AF253" s="14"/>
      <c r="AG253" s="14"/>
      <c r="AH253" s="18" t="str">
        <f aca="false">IF(AND(AC253="Sold",AE253&lt;&gt;"",AF253&lt;&gt;""),AE253-AF253,"")</f>
        <v/>
      </c>
      <c r="AI253" s="18" t="str">
        <f aca="false">IF(AND(AC253="Sold",AF253&lt;&gt;"",X253&lt;&gt;""),AF253-N(AG253)-X253,"")</f>
        <v/>
      </c>
      <c r="AJ253" s="20" t="str">
        <f aca="false">IF(AND(AI253&lt;&gt;"",N(AE253)&gt;0),AI253/AE253,"")</f>
        <v/>
      </c>
      <c r="AK253" s="20" t="str">
        <f aca="false">IF(AND(AI253&lt;&gt;"",N(X253)&gt;0),AI253/X253,"")</f>
        <v/>
      </c>
      <c r="AL253" s="21" t="str">
        <f aca="false">IF(AND(AC253="Sold",AD253&lt;&gt;"",Z253&lt;&gt;""),AD253-Z253,"")</f>
        <v/>
      </c>
      <c r="AM253" s="20" t="str">
        <f aca="false">IF(AND(AC253="Sold",N(AA253)&gt;0,AE253&lt;&gt;""),1-AE253/AA253,"")</f>
        <v/>
      </c>
      <c r="AN253" s="21" t="str">
        <f aca="true">IF(AND(AC253&lt;&gt;"Sold",AC253&lt;&gt;"",Z253&lt;&gt;""),TODAY()-Z253,"")</f>
        <v/>
      </c>
      <c r="AO253" s="4"/>
      <c r="AP253" s="4"/>
    </row>
    <row r="254" customFormat="false" ht="1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14"/>
      <c r="O254" s="15"/>
      <c r="P254" s="16"/>
      <c r="Q254" s="4"/>
      <c r="R254" s="17"/>
      <c r="S254" s="18" t="str">
        <f aca="false">IF(OR(P254="",R254=""),"",P254*R254)</f>
        <v/>
      </c>
      <c r="T254" s="14"/>
      <c r="U254" s="14"/>
      <c r="V254" s="14"/>
      <c r="W254" s="14"/>
      <c r="X254" s="18" t="str">
        <f aca="false">IF(S254="","",S254+N(T254)+N(U254)+N(V254)+N(W254))</f>
        <v/>
      </c>
      <c r="Y254" s="4"/>
      <c r="Z254" s="15"/>
      <c r="AA254" s="14"/>
      <c r="AB254" s="19"/>
      <c r="AC254" s="4"/>
      <c r="AD254" s="15"/>
      <c r="AE254" s="14"/>
      <c r="AF254" s="14"/>
      <c r="AG254" s="14"/>
      <c r="AH254" s="18" t="str">
        <f aca="false">IF(AND(AC254="Sold",AE254&lt;&gt;"",AF254&lt;&gt;""),AE254-AF254,"")</f>
        <v/>
      </c>
      <c r="AI254" s="18" t="str">
        <f aca="false">IF(AND(AC254="Sold",AF254&lt;&gt;"",X254&lt;&gt;""),AF254-N(AG254)-X254,"")</f>
        <v/>
      </c>
      <c r="AJ254" s="20" t="str">
        <f aca="false">IF(AND(AI254&lt;&gt;"",N(AE254)&gt;0),AI254/AE254,"")</f>
        <v/>
      </c>
      <c r="AK254" s="20" t="str">
        <f aca="false">IF(AND(AI254&lt;&gt;"",N(X254)&gt;0),AI254/X254,"")</f>
        <v/>
      </c>
      <c r="AL254" s="21" t="str">
        <f aca="false">IF(AND(AC254="Sold",AD254&lt;&gt;"",Z254&lt;&gt;""),AD254-Z254,"")</f>
        <v/>
      </c>
      <c r="AM254" s="20" t="str">
        <f aca="false">IF(AND(AC254="Sold",N(AA254)&gt;0,AE254&lt;&gt;""),1-AE254/AA254,"")</f>
        <v/>
      </c>
      <c r="AN254" s="21" t="str">
        <f aca="true">IF(AND(AC254&lt;&gt;"Sold",AC254&lt;&gt;"",Z254&lt;&gt;""),TODAY()-Z254,"")</f>
        <v/>
      </c>
      <c r="AO254" s="4"/>
      <c r="AP254" s="4"/>
    </row>
    <row r="255" customFormat="false" ht="1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14"/>
      <c r="O255" s="15"/>
      <c r="P255" s="16"/>
      <c r="Q255" s="4"/>
      <c r="R255" s="17"/>
      <c r="S255" s="18" t="str">
        <f aca="false">IF(OR(P255="",R255=""),"",P255*R255)</f>
        <v/>
      </c>
      <c r="T255" s="14"/>
      <c r="U255" s="14"/>
      <c r="V255" s="14"/>
      <c r="W255" s="14"/>
      <c r="X255" s="18" t="str">
        <f aca="false">IF(S255="","",S255+N(T255)+N(U255)+N(V255)+N(W255))</f>
        <v/>
      </c>
      <c r="Y255" s="4"/>
      <c r="Z255" s="15"/>
      <c r="AA255" s="14"/>
      <c r="AB255" s="19"/>
      <c r="AC255" s="4"/>
      <c r="AD255" s="15"/>
      <c r="AE255" s="14"/>
      <c r="AF255" s="14"/>
      <c r="AG255" s="14"/>
      <c r="AH255" s="18" t="str">
        <f aca="false">IF(AND(AC255="Sold",AE255&lt;&gt;"",AF255&lt;&gt;""),AE255-AF255,"")</f>
        <v/>
      </c>
      <c r="AI255" s="18" t="str">
        <f aca="false">IF(AND(AC255="Sold",AF255&lt;&gt;"",X255&lt;&gt;""),AF255-N(AG255)-X255,"")</f>
        <v/>
      </c>
      <c r="AJ255" s="20" t="str">
        <f aca="false">IF(AND(AI255&lt;&gt;"",N(AE255)&gt;0),AI255/AE255,"")</f>
        <v/>
      </c>
      <c r="AK255" s="20" t="str">
        <f aca="false">IF(AND(AI255&lt;&gt;"",N(X255)&gt;0),AI255/X255,"")</f>
        <v/>
      </c>
      <c r="AL255" s="21" t="str">
        <f aca="false">IF(AND(AC255="Sold",AD255&lt;&gt;"",Z255&lt;&gt;""),AD255-Z255,"")</f>
        <v/>
      </c>
      <c r="AM255" s="20" t="str">
        <f aca="false">IF(AND(AC255="Sold",N(AA255)&gt;0,AE255&lt;&gt;""),1-AE255/AA255,"")</f>
        <v/>
      </c>
      <c r="AN255" s="21" t="str">
        <f aca="true">IF(AND(AC255&lt;&gt;"Sold",AC255&lt;&gt;"",Z255&lt;&gt;""),TODAY()-Z255,"")</f>
        <v/>
      </c>
      <c r="AO255" s="4"/>
      <c r="AP255" s="4"/>
    </row>
    <row r="256" customFormat="false" ht="1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14"/>
      <c r="O256" s="15"/>
      <c r="P256" s="16"/>
      <c r="Q256" s="4"/>
      <c r="R256" s="17"/>
      <c r="S256" s="18" t="str">
        <f aca="false">IF(OR(P256="",R256=""),"",P256*R256)</f>
        <v/>
      </c>
      <c r="T256" s="14"/>
      <c r="U256" s="14"/>
      <c r="V256" s="14"/>
      <c r="W256" s="14"/>
      <c r="X256" s="18" t="str">
        <f aca="false">IF(S256="","",S256+N(T256)+N(U256)+N(V256)+N(W256))</f>
        <v/>
      </c>
      <c r="Y256" s="4"/>
      <c r="Z256" s="15"/>
      <c r="AA256" s="14"/>
      <c r="AB256" s="19"/>
      <c r="AC256" s="4"/>
      <c r="AD256" s="15"/>
      <c r="AE256" s="14"/>
      <c r="AF256" s="14"/>
      <c r="AG256" s="14"/>
      <c r="AH256" s="18" t="str">
        <f aca="false">IF(AND(AC256="Sold",AE256&lt;&gt;"",AF256&lt;&gt;""),AE256-AF256,"")</f>
        <v/>
      </c>
      <c r="AI256" s="18" t="str">
        <f aca="false">IF(AND(AC256="Sold",AF256&lt;&gt;"",X256&lt;&gt;""),AF256-N(AG256)-X256,"")</f>
        <v/>
      </c>
      <c r="AJ256" s="20" t="str">
        <f aca="false">IF(AND(AI256&lt;&gt;"",N(AE256)&gt;0),AI256/AE256,"")</f>
        <v/>
      </c>
      <c r="AK256" s="20" t="str">
        <f aca="false">IF(AND(AI256&lt;&gt;"",N(X256)&gt;0),AI256/X256,"")</f>
        <v/>
      </c>
      <c r="AL256" s="21" t="str">
        <f aca="false">IF(AND(AC256="Sold",AD256&lt;&gt;"",Z256&lt;&gt;""),AD256-Z256,"")</f>
        <v/>
      </c>
      <c r="AM256" s="20" t="str">
        <f aca="false">IF(AND(AC256="Sold",N(AA256)&gt;0,AE256&lt;&gt;""),1-AE256/AA256,"")</f>
        <v/>
      </c>
      <c r="AN256" s="21" t="str">
        <f aca="true">IF(AND(AC256&lt;&gt;"Sold",AC256&lt;&gt;"",Z256&lt;&gt;""),TODAY()-Z256,"")</f>
        <v/>
      </c>
      <c r="AO256" s="4"/>
      <c r="AP256" s="4"/>
    </row>
    <row r="257" customFormat="false" ht="1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14"/>
      <c r="O257" s="15"/>
      <c r="P257" s="16"/>
      <c r="Q257" s="4"/>
      <c r="R257" s="17"/>
      <c r="S257" s="18" t="str">
        <f aca="false">IF(OR(P257="",R257=""),"",P257*R257)</f>
        <v/>
      </c>
      <c r="T257" s="14"/>
      <c r="U257" s="14"/>
      <c r="V257" s="14"/>
      <c r="W257" s="14"/>
      <c r="X257" s="18" t="str">
        <f aca="false">IF(S257="","",S257+N(T257)+N(U257)+N(V257)+N(W257))</f>
        <v/>
      </c>
      <c r="Y257" s="4"/>
      <c r="Z257" s="15"/>
      <c r="AA257" s="14"/>
      <c r="AB257" s="19"/>
      <c r="AC257" s="4"/>
      <c r="AD257" s="15"/>
      <c r="AE257" s="14"/>
      <c r="AF257" s="14"/>
      <c r="AG257" s="14"/>
      <c r="AH257" s="18" t="str">
        <f aca="false">IF(AND(AC257="Sold",AE257&lt;&gt;"",AF257&lt;&gt;""),AE257-AF257,"")</f>
        <v/>
      </c>
      <c r="AI257" s="18" t="str">
        <f aca="false">IF(AND(AC257="Sold",AF257&lt;&gt;"",X257&lt;&gt;""),AF257-N(AG257)-X257,"")</f>
        <v/>
      </c>
      <c r="AJ257" s="20" t="str">
        <f aca="false">IF(AND(AI257&lt;&gt;"",N(AE257)&gt;0),AI257/AE257,"")</f>
        <v/>
      </c>
      <c r="AK257" s="20" t="str">
        <f aca="false">IF(AND(AI257&lt;&gt;"",N(X257)&gt;0),AI257/X257,"")</f>
        <v/>
      </c>
      <c r="AL257" s="21" t="str">
        <f aca="false">IF(AND(AC257="Sold",AD257&lt;&gt;"",Z257&lt;&gt;""),AD257-Z257,"")</f>
        <v/>
      </c>
      <c r="AM257" s="20" t="str">
        <f aca="false">IF(AND(AC257="Sold",N(AA257)&gt;0,AE257&lt;&gt;""),1-AE257/AA257,"")</f>
        <v/>
      </c>
      <c r="AN257" s="21" t="str">
        <f aca="true">IF(AND(AC257&lt;&gt;"Sold",AC257&lt;&gt;"",Z257&lt;&gt;""),TODAY()-Z257,"")</f>
        <v/>
      </c>
      <c r="AO257" s="4"/>
      <c r="AP257" s="4"/>
    </row>
    <row r="258" customFormat="false" ht="1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14"/>
      <c r="O258" s="15"/>
      <c r="P258" s="16"/>
      <c r="Q258" s="4"/>
      <c r="R258" s="17"/>
      <c r="S258" s="18" t="str">
        <f aca="false">IF(OR(P258="",R258=""),"",P258*R258)</f>
        <v/>
      </c>
      <c r="T258" s="14"/>
      <c r="U258" s="14"/>
      <c r="V258" s="14"/>
      <c r="W258" s="14"/>
      <c r="X258" s="18" t="str">
        <f aca="false">IF(S258="","",S258+N(T258)+N(U258)+N(V258)+N(W258))</f>
        <v/>
      </c>
      <c r="Y258" s="4"/>
      <c r="Z258" s="15"/>
      <c r="AA258" s="14"/>
      <c r="AB258" s="19"/>
      <c r="AC258" s="4"/>
      <c r="AD258" s="15"/>
      <c r="AE258" s="14"/>
      <c r="AF258" s="14"/>
      <c r="AG258" s="14"/>
      <c r="AH258" s="18" t="str">
        <f aca="false">IF(AND(AC258="Sold",AE258&lt;&gt;"",AF258&lt;&gt;""),AE258-AF258,"")</f>
        <v/>
      </c>
      <c r="AI258" s="18" t="str">
        <f aca="false">IF(AND(AC258="Sold",AF258&lt;&gt;"",X258&lt;&gt;""),AF258-N(AG258)-X258,"")</f>
        <v/>
      </c>
      <c r="AJ258" s="20" t="str">
        <f aca="false">IF(AND(AI258&lt;&gt;"",N(AE258)&gt;0),AI258/AE258,"")</f>
        <v/>
      </c>
      <c r="AK258" s="20" t="str">
        <f aca="false">IF(AND(AI258&lt;&gt;"",N(X258)&gt;0),AI258/X258,"")</f>
        <v/>
      </c>
      <c r="AL258" s="21" t="str">
        <f aca="false">IF(AND(AC258="Sold",AD258&lt;&gt;"",Z258&lt;&gt;""),AD258-Z258,"")</f>
        <v/>
      </c>
      <c r="AM258" s="20" t="str">
        <f aca="false">IF(AND(AC258="Sold",N(AA258)&gt;0,AE258&lt;&gt;""),1-AE258/AA258,"")</f>
        <v/>
      </c>
      <c r="AN258" s="21" t="str">
        <f aca="true">IF(AND(AC258&lt;&gt;"Sold",AC258&lt;&gt;"",Z258&lt;&gt;""),TODAY()-Z258,"")</f>
        <v/>
      </c>
      <c r="AO258" s="4"/>
      <c r="AP258" s="4"/>
    </row>
    <row r="259" customFormat="false" ht="1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14"/>
      <c r="O259" s="15"/>
      <c r="P259" s="16"/>
      <c r="Q259" s="4"/>
      <c r="R259" s="17"/>
      <c r="S259" s="18" t="str">
        <f aca="false">IF(OR(P259="",R259=""),"",P259*R259)</f>
        <v/>
      </c>
      <c r="T259" s="14"/>
      <c r="U259" s="14"/>
      <c r="V259" s="14"/>
      <c r="W259" s="14"/>
      <c r="X259" s="18" t="str">
        <f aca="false">IF(S259="","",S259+N(T259)+N(U259)+N(V259)+N(W259))</f>
        <v/>
      </c>
      <c r="Y259" s="4"/>
      <c r="Z259" s="15"/>
      <c r="AA259" s="14"/>
      <c r="AB259" s="19"/>
      <c r="AC259" s="4"/>
      <c r="AD259" s="15"/>
      <c r="AE259" s="14"/>
      <c r="AF259" s="14"/>
      <c r="AG259" s="14"/>
      <c r="AH259" s="18" t="str">
        <f aca="false">IF(AND(AC259="Sold",AE259&lt;&gt;"",AF259&lt;&gt;""),AE259-AF259,"")</f>
        <v/>
      </c>
      <c r="AI259" s="18" t="str">
        <f aca="false">IF(AND(AC259="Sold",AF259&lt;&gt;"",X259&lt;&gt;""),AF259-N(AG259)-X259,"")</f>
        <v/>
      </c>
      <c r="AJ259" s="20" t="str">
        <f aca="false">IF(AND(AI259&lt;&gt;"",N(AE259)&gt;0),AI259/AE259,"")</f>
        <v/>
      </c>
      <c r="AK259" s="20" t="str">
        <f aca="false">IF(AND(AI259&lt;&gt;"",N(X259)&gt;0),AI259/X259,"")</f>
        <v/>
      </c>
      <c r="AL259" s="21" t="str">
        <f aca="false">IF(AND(AC259="Sold",AD259&lt;&gt;"",Z259&lt;&gt;""),AD259-Z259,"")</f>
        <v/>
      </c>
      <c r="AM259" s="20" t="str">
        <f aca="false">IF(AND(AC259="Sold",N(AA259)&gt;0,AE259&lt;&gt;""),1-AE259/AA259,"")</f>
        <v/>
      </c>
      <c r="AN259" s="21" t="str">
        <f aca="true">IF(AND(AC259&lt;&gt;"Sold",AC259&lt;&gt;"",Z259&lt;&gt;""),TODAY()-Z259,"")</f>
        <v/>
      </c>
      <c r="AO259" s="4"/>
      <c r="AP259" s="4"/>
    </row>
    <row r="260" customFormat="false" ht="1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14"/>
      <c r="O260" s="15"/>
      <c r="P260" s="16"/>
      <c r="Q260" s="4"/>
      <c r="R260" s="17"/>
      <c r="S260" s="18" t="str">
        <f aca="false">IF(OR(P260="",R260=""),"",P260*R260)</f>
        <v/>
      </c>
      <c r="T260" s="14"/>
      <c r="U260" s="14"/>
      <c r="V260" s="14"/>
      <c r="W260" s="14"/>
      <c r="X260" s="18" t="str">
        <f aca="false">IF(S260="","",S260+N(T260)+N(U260)+N(V260)+N(W260))</f>
        <v/>
      </c>
      <c r="Y260" s="4"/>
      <c r="Z260" s="15"/>
      <c r="AA260" s="14"/>
      <c r="AB260" s="19"/>
      <c r="AC260" s="4"/>
      <c r="AD260" s="15"/>
      <c r="AE260" s="14"/>
      <c r="AF260" s="14"/>
      <c r="AG260" s="14"/>
      <c r="AH260" s="18" t="str">
        <f aca="false">IF(AND(AC260="Sold",AE260&lt;&gt;"",AF260&lt;&gt;""),AE260-AF260,"")</f>
        <v/>
      </c>
      <c r="AI260" s="18" t="str">
        <f aca="false">IF(AND(AC260="Sold",AF260&lt;&gt;"",X260&lt;&gt;""),AF260-N(AG260)-X260,"")</f>
        <v/>
      </c>
      <c r="AJ260" s="20" t="str">
        <f aca="false">IF(AND(AI260&lt;&gt;"",N(AE260)&gt;0),AI260/AE260,"")</f>
        <v/>
      </c>
      <c r="AK260" s="20" t="str">
        <f aca="false">IF(AND(AI260&lt;&gt;"",N(X260)&gt;0),AI260/X260,"")</f>
        <v/>
      </c>
      <c r="AL260" s="21" t="str">
        <f aca="false">IF(AND(AC260="Sold",AD260&lt;&gt;"",Z260&lt;&gt;""),AD260-Z260,"")</f>
        <v/>
      </c>
      <c r="AM260" s="20" t="str">
        <f aca="false">IF(AND(AC260="Sold",N(AA260)&gt;0,AE260&lt;&gt;""),1-AE260/AA260,"")</f>
        <v/>
      </c>
      <c r="AN260" s="21" t="str">
        <f aca="true">IF(AND(AC260&lt;&gt;"Sold",AC260&lt;&gt;"",Z260&lt;&gt;""),TODAY()-Z260,"")</f>
        <v/>
      </c>
      <c r="AO260" s="4"/>
      <c r="AP260" s="4"/>
    </row>
    <row r="261" customFormat="false" ht="1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14"/>
      <c r="O261" s="15"/>
      <c r="P261" s="16"/>
      <c r="Q261" s="4"/>
      <c r="R261" s="17"/>
      <c r="S261" s="18" t="str">
        <f aca="false">IF(OR(P261="",R261=""),"",P261*R261)</f>
        <v/>
      </c>
      <c r="T261" s="14"/>
      <c r="U261" s="14"/>
      <c r="V261" s="14"/>
      <c r="W261" s="14"/>
      <c r="X261" s="18" t="str">
        <f aca="false">IF(S261="","",S261+N(T261)+N(U261)+N(V261)+N(W261))</f>
        <v/>
      </c>
      <c r="Y261" s="4"/>
      <c r="Z261" s="15"/>
      <c r="AA261" s="14"/>
      <c r="AB261" s="19"/>
      <c r="AC261" s="4"/>
      <c r="AD261" s="15"/>
      <c r="AE261" s="14"/>
      <c r="AF261" s="14"/>
      <c r="AG261" s="14"/>
      <c r="AH261" s="18" t="str">
        <f aca="false">IF(AND(AC261="Sold",AE261&lt;&gt;"",AF261&lt;&gt;""),AE261-AF261,"")</f>
        <v/>
      </c>
      <c r="AI261" s="18" t="str">
        <f aca="false">IF(AND(AC261="Sold",AF261&lt;&gt;"",X261&lt;&gt;""),AF261-N(AG261)-X261,"")</f>
        <v/>
      </c>
      <c r="AJ261" s="20" t="str">
        <f aca="false">IF(AND(AI261&lt;&gt;"",N(AE261)&gt;0),AI261/AE261,"")</f>
        <v/>
      </c>
      <c r="AK261" s="20" t="str">
        <f aca="false">IF(AND(AI261&lt;&gt;"",N(X261)&gt;0),AI261/X261,"")</f>
        <v/>
      </c>
      <c r="AL261" s="21" t="str">
        <f aca="false">IF(AND(AC261="Sold",AD261&lt;&gt;"",Z261&lt;&gt;""),AD261-Z261,"")</f>
        <v/>
      </c>
      <c r="AM261" s="20" t="str">
        <f aca="false">IF(AND(AC261="Sold",N(AA261)&gt;0,AE261&lt;&gt;""),1-AE261/AA261,"")</f>
        <v/>
      </c>
      <c r="AN261" s="21" t="str">
        <f aca="true">IF(AND(AC261&lt;&gt;"Sold",AC261&lt;&gt;"",Z261&lt;&gt;""),TODAY()-Z261,"")</f>
        <v/>
      </c>
      <c r="AO261" s="4"/>
      <c r="AP261" s="4"/>
    </row>
    <row r="262" customFormat="false" ht="1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14"/>
      <c r="O262" s="15"/>
      <c r="P262" s="16"/>
      <c r="Q262" s="4"/>
      <c r="R262" s="17"/>
      <c r="S262" s="18" t="str">
        <f aca="false">IF(OR(P262="",R262=""),"",P262*R262)</f>
        <v/>
      </c>
      <c r="T262" s="14"/>
      <c r="U262" s="14"/>
      <c r="V262" s="14"/>
      <c r="W262" s="14"/>
      <c r="X262" s="18" t="str">
        <f aca="false">IF(S262="","",S262+N(T262)+N(U262)+N(V262)+N(W262))</f>
        <v/>
      </c>
      <c r="Y262" s="4"/>
      <c r="Z262" s="15"/>
      <c r="AA262" s="14"/>
      <c r="AB262" s="19"/>
      <c r="AC262" s="4"/>
      <c r="AD262" s="15"/>
      <c r="AE262" s="14"/>
      <c r="AF262" s="14"/>
      <c r="AG262" s="14"/>
      <c r="AH262" s="18" t="str">
        <f aca="false">IF(AND(AC262="Sold",AE262&lt;&gt;"",AF262&lt;&gt;""),AE262-AF262,"")</f>
        <v/>
      </c>
      <c r="AI262" s="18" t="str">
        <f aca="false">IF(AND(AC262="Sold",AF262&lt;&gt;"",X262&lt;&gt;""),AF262-N(AG262)-X262,"")</f>
        <v/>
      </c>
      <c r="AJ262" s="20" t="str">
        <f aca="false">IF(AND(AI262&lt;&gt;"",N(AE262)&gt;0),AI262/AE262,"")</f>
        <v/>
      </c>
      <c r="AK262" s="20" t="str">
        <f aca="false">IF(AND(AI262&lt;&gt;"",N(X262)&gt;0),AI262/X262,"")</f>
        <v/>
      </c>
      <c r="AL262" s="21" t="str">
        <f aca="false">IF(AND(AC262="Sold",AD262&lt;&gt;"",Z262&lt;&gt;""),AD262-Z262,"")</f>
        <v/>
      </c>
      <c r="AM262" s="20" t="str">
        <f aca="false">IF(AND(AC262="Sold",N(AA262)&gt;0,AE262&lt;&gt;""),1-AE262/AA262,"")</f>
        <v/>
      </c>
      <c r="AN262" s="21" t="str">
        <f aca="true">IF(AND(AC262&lt;&gt;"Sold",AC262&lt;&gt;"",Z262&lt;&gt;""),TODAY()-Z262,"")</f>
        <v/>
      </c>
      <c r="AO262" s="4"/>
      <c r="AP262" s="4"/>
    </row>
    <row r="263" customFormat="false" ht="1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14"/>
      <c r="O263" s="15"/>
      <c r="P263" s="16"/>
      <c r="Q263" s="4"/>
      <c r="R263" s="17"/>
      <c r="S263" s="18" t="str">
        <f aca="false">IF(OR(P263="",R263=""),"",P263*R263)</f>
        <v/>
      </c>
      <c r="T263" s="14"/>
      <c r="U263" s="14"/>
      <c r="V263" s="14"/>
      <c r="W263" s="14"/>
      <c r="X263" s="18" t="str">
        <f aca="false">IF(S263="","",S263+N(T263)+N(U263)+N(V263)+N(W263))</f>
        <v/>
      </c>
      <c r="Y263" s="4"/>
      <c r="Z263" s="15"/>
      <c r="AA263" s="14"/>
      <c r="AB263" s="19"/>
      <c r="AC263" s="4"/>
      <c r="AD263" s="15"/>
      <c r="AE263" s="14"/>
      <c r="AF263" s="14"/>
      <c r="AG263" s="14"/>
      <c r="AH263" s="18" t="str">
        <f aca="false">IF(AND(AC263="Sold",AE263&lt;&gt;"",AF263&lt;&gt;""),AE263-AF263,"")</f>
        <v/>
      </c>
      <c r="AI263" s="18" t="str">
        <f aca="false">IF(AND(AC263="Sold",AF263&lt;&gt;"",X263&lt;&gt;""),AF263-N(AG263)-X263,"")</f>
        <v/>
      </c>
      <c r="AJ263" s="20" t="str">
        <f aca="false">IF(AND(AI263&lt;&gt;"",N(AE263)&gt;0),AI263/AE263,"")</f>
        <v/>
      </c>
      <c r="AK263" s="20" t="str">
        <f aca="false">IF(AND(AI263&lt;&gt;"",N(X263)&gt;0),AI263/X263,"")</f>
        <v/>
      </c>
      <c r="AL263" s="21" t="str">
        <f aca="false">IF(AND(AC263="Sold",AD263&lt;&gt;"",Z263&lt;&gt;""),AD263-Z263,"")</f>
        <v/>
      </c>
      <c r="AM263" s="20" t="str">
        <f aca="false">IF(AND(AC263="Sold",N(AA263)&gt;0,AE263&lt;&gt;""),1-AE263/AA263,"")</f>
        <v/>
      </c>
      <c r="AN263" s="21" t="str">
        <f aca="true">IF(AND(AC263&lt;&gt;"Sold",AC263&lt;&gt;"",Z263&lt;&gt;""),TODAY()-Z263,"")</f>
        <v/>
      </c>
      <c r="AO263" s="4"/>
      <c r="AP263" s="4"/>
    </row>
    <row r="264" customFormat="false" ht="1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14"/>
      <c r="O264" s="15"/>
      <c r="P264" s="16"/>
      <c r="Q264" s="4"/>
      <c r="R264" s="17"/>
      <c r="S264" s="18" t="str">
        <f aca="false">IF(OR(P264="",R264=""),"",P264*R264)</f>
        <v/>
      </c>
      <c r="T264" s="14"/>
      <c r="U264" s="14"/>
      <c r="V264" s="14"/>
      <c r="W264" s="14"/>
      <c r="X264" s="18" t="str">
        <f aca="false">IF(S264="","",S264+N(T264)+N(U264)+N(V264)+N(W264))</f>
        <v/>
      </c>
      <c r="Y264" s="4"/>
      <c r="Z264" s="15"/>
      <c r="AA264" s="14"/>
      <c r="AB264" s="19"/>
      <c r="AC264" s="4"/>
      <c r="AD264" s="15"/>
      <c r="AE264" s="14"/>
      <c r="AF264" s="14"/>
      <c r="AG264" s="14"/>
      <c r="AH264" s="18" t="str">
        <f aca="false">IF(AND(AC264="Sold",AE264&lt;&gt;"",AF264&lt;&gt;""),AE264-AF264,"")</f>
        <v/>
      </c>
      <c r="AI264" s="18" t="str">
        <f aca="false">IF(AND(AC264="Sold",AF264&lt;&gt;"",X264&lt;&gt;""),AF264-N(AG264)-X264,"")</f>
        <v/>
      </c>
      <c r="AJ264" s="20" t="str">
        <f aca="false">IF(AND(AI264&lt;&gt;"",N(AE264)&gt;0),AI264/AE264,"")</f>
        <v/>
      </c>
      <c r="AK264" s="20" t="str">
        <f aca="false">IF(AND(AI264&lt;&gt;"",N(X264)&gt;0),AI264/X264,"")</f>
        <v/>
      </c>
      <c r="AL264" s="21" t="str">
        <f aca="false">IF(AND(AC264="Sold",AD264&lt;&gt;"",Z264&lt;&gt;""),AD264-Z264,"")</f>
        <v/>
      </c>
      <c r="AM264" s="20" t="str">
        <f aca="false">IF(AND(AC264="Sold",N(AA264)&gt;0,AE264&lt;&gt;""),1-AE264/AA264,"")</f>
        <v/>
      </c>
      <c r="AN264" s="21" t="str">
        <f aca="true">IF(AND(AC264&lt;&gt;"Sold",AC264&lt;&gt;"",Z264&lt;&gt;""),TODAY()-Z264,"")</f>
        <v/>
      </c>
      <c r="AO264" s="4"/>
      <c r="AP264" s="4"/>
    </row>
    <row r="265" customFormat="false" ht="1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14"/>
      <c r="O265" s="15"/>
      <c r="P265" s="16"/>
      <c r="Q265" s="4"/>
      <c r="R265" s="17"/>
      <c r="S265" s="18" t="str">
        <f aca="false">IF(OR(P265="",R265=""),"",P265*R265)</f>
        <v/>
      </c>
      <c r="T265" s="14"/>
      <c r="U265" s="14"/>
      <c r="V265" s="14"/>
      <c r="W265" s="14"/>
      <c r="X265" s="18" t="str">
        <f aca="false">IF(S265="","",S265+N(T265)+N(U265)+N(V265)+N(W265))</f>
        <v/>
      </c>
      <c r="Y265" s="4"/>
      <c r="Z265" s="15"/>
      <c r="AA265" s="14"/>
      <c r="AB265" s="19"/>
      <c r="AC265" s="4"/>
      <c r="AD265" s="15"/>
      <c r="AE265" s="14"/>
      <c r="AF265" s="14"/>
      <c r="AG265" s="14"/>
      <c r="AH265" s="18" t="str">
        <f aca="false">IF(AND(AC265="Sold",AE265&lt;&gt;"",AF265&lt;&gt;""),AE265-AF265,"")</f>
        <v/>
      </c>
      <c r="AI265" s="18" t="str">
        <f aca="false">IF(AND(AC265="Sold",AF265&lt;&gt;"",X265&lt;&gt;""),AF265-N(AG265)-X265,"")</f>
        <v/>
      </c>
      <c r="AJ265" s="20" t="str">
        <f aca="false">IF(AND(AI265&lt;&gt;"",N(AE265)&gt;0),AI265/AE265,"")</f>
        <v/>
      </c>
      <c r="AK265" s="20" t="str">
        <f aca="false">IF(AND(AI265&lt;&gt;"",N(X265)&gt;0),AI265/X265,"")</f>
        <v/>
      </c>
      <c r="AL265" s="21" t="str">
        <f aca="false">IF(AND(AC265="Sold",AD265&lt;&gt;"",Z265&lt;&gt;""),AD265-Z265,"")</f>
        <v/>
      </c>
      <c r="AM265" s="20" t="str">
        <f aca="false">IF(AND(AC265="Sold",N(AA265)&gt;0,AE265&lt;&gt;""),1-AE265/AA265,"")</f>
        <v/>
      </c>
      <c r="AN265" s="21" t="str">
        <f aca="true">IF(AND(AC265&lt;&gt;"Sold",AC265&lt;&gt;"",Z265&lt;&gt;""),TODAY()-Z265,"")</f>
        <v/>
      </c>
      <c r="AO265" s="4"/>
      <c r="AP265" s="4"/>
    </row>
    <row r="266" customFormat="false" ht="1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14"/>
      <c r="O266" s="15"/>
      <c r="P266" s="16"/>
      <c r="Q266" s="4"/>
      <c r="R266" s="17"/>
      <c r="S266" s="18" t="str">
        <f aca="false">IF(OR(P266="",R266=""),"",P266*R266)</f>
        <v/>
      </c>
      <c r="T266" s="14"/>
      <c r="U266" s="14"/>
      <c r="V266" s="14"/>
      <c r="W266" s="14"/>
      <c r="X266" s="18" t="str">
        <f aca="false">IF(S266="","",S266+N(T266)+N(U266)+N(V266)+N(W266))</f>
        <v/>
      </c>
      <c r="Y266" s="4"/>
      <c r="Z266" s="15"/>
      <c r="AA266" s="14"/>
      <c r="AB266" s="19"/>
      <c r="AC266" s="4"/>
      <c r="AD266" s="15"/>
      <c r="AE266" s="14"/>
      <c r="AF266" s="14"/>
      <c r="AG266" s="14"/>
      <c r="AH266" s="18" t="str">
        <f aca="false">IF(AND(AC266="Sold",AE266&lt;&gt;"",AF266&lt;&gt;""),AE266-AF266,"")</f>
        <v/>
      </c>
      <c r="AI266" s="18" t="str">
        <f aca="false">IF(AND(AC266="Sold",AF266&lt;&gt;"",X266&lt;&gt;""),AF266-N(AG266)-X266,"")</f>
        <v/>
      </c>
      <c r="AJ266" s="20" t="str">
        <f aca="false">IF(AND(AI266&lt;&gt;"",N(AE266)&gt;0),AI266/AE266,"")</f>
        <v/>
      </c>
      <c r="AK266" s="20" t="str">
        <f aca="false">IF(AND(AI266&lt;&gt;"",N(X266)&gt;0),AI266/X266,"")</f>
        <v/>
      </c>
      <c r="AL266" s="21" t="str">
        <f aca="false">IF(AND(AC266="Sold",AD266&lt;&gt;"",Z266&lt;&gt;""),AD266-Z266,"")</f>
        <v/>
      </c>
      <c r="AM266" s="20" t="str">
        <f aca="false">IF(AND(AC266="Sold",N(AA266)&gt;0,AE266&lt;&gt;""),1-AE266/AA266,"")</f>
        <v/>
      </c>
      <c r="AN266" s="21" t="str">
        <f aca="true">IF(AND(AC266&lt;&gt;"Sold",AC266&lt;&gt;"",Z266&lt;&gt;""),TODAY()-Z266,"")</f>
        <v/>
      </c>
      <c r="AO266" s="4"/>
      <c r="AP266" s="4"/>
    </row>
    <row r="267" customFormat="false" ht="1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14"/>
      <c r="O267" s="15"/>
      <c r="P267" s="16"/>
      <c r="Q267" s="4"/>
      <c r="R267" s="17"/>
      <c r="S267" s="18" t="str">
        <f aca="false">IF(OR(P267="",R267=""),"",P267*R267)</f>
        <v/>
      </c>
      <c r="T267" s="14"/>
      <c r="U267" s="14"/>
      <c r="V267" s="14"/>
      <c r="W267" s="14"/>
      <c r="X267" s="18" t="str">
        <f aca="false">IF(S267="","",S267+N(T267)+N(U267)+N(V267)+N(W267))</f>
        <v/>
      </c>
      <c r="Y267" s="4"/>
      <c r="Z267" s="15"/>
      <c r="AA267" s="14"/>
      <c r="AB267" s="19"/>
      <c r="AC267" s="4"/>
      <c r="AD267" s="15"/>
      <c r="AE267" s="14"/>
      <c r="AF267" s="14"/>
      <c r="AG267" s="14"/>
      <c r="AH267" s="18" t="str">
        <f aca="false">IF(AND(AC267="Sold",AE267&lt;&gt;"",AF267&lt;&gt;""),AE267-AF267,"")</f>
        <v/>
      </c>
      <c r="AI267" s="18" t="str">
        <f aca="false">IF(AND(AC267="Sold",AF267&lt;&gt;"",X267&lt;&gt;""),AF267-N(AG267)-X267,"")</f>
        <v/>
      </c>
      <c r="AJ267" s="20" t="str">
        <f aca="false">IF(AND(AI267&lt;&gt;"",N(AE267)&gt;0),AI267/AE267,"")</f>
        <v/>
      </c>
      <c r="AK267" s="20" t="str">
        <f aca="false">IF(AND(AI267&lt;&gt;"",N(X267)&gt;0),AI267/X267,"")</f>
        <v/>
      </c>
      <c r="AL267" s="21" t="str">
        <f aca="false">IF(AND(AC267="Sold",AD267&lt;&gt;"",Z267&lt;&gt;""),AD267-Z267,"")</f>
        <v/>
      </c>
      <c r="AM267" s="20" t="str">
        <f aca="false">IF(AND(AC267="Sold",N(AA267)&gt;0,AE267&lt;&gt;""),1-AE267/AA267,"")</f>
        <v/>
      </c>
      <c r="AN267" s="21" t="str">
        <f aca="true">IF(AND(AC267&lt;&gt;"Sold",AC267&lt;&gt;"",Z267&lt;&gt;""),TODAY()-Z267,"")</f>
        <v/>
      </c>
      <c r="AO267" s="4"/>
      <c r="AP267" s="4"/>
    </row>
    <row r="268" customFormat="false" ht="1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14"/>
      <c r="O268" s="15"/>
      <c r="P268" s="16"/>
      <c r="Q268" s="4"/>
      <c r="R268" s="17"/>
      <c r="S268" s="18" t="str">
        <f aca="false">IF(OR(P268="",R268=""),"",P268*R268)</f>
        <v/>
      </c>
      <c r="T268" s="14"/>
      <c r="U268" s="14"/>
      <c r="V268" s="14"/>
      <c r="W268" s="14"/>
      <c r="X268" s="18" t="str">
        <f aca="false">IF(S268="","",S268+N(T268)+N(U268)+N(V268)+N(W268))</f>
        <v/>
      </c>
      <c r="Y268" s="4"/>
      <c r="Z268" s="15"/>
      <c r="AA268" s="14"/>
      <c r="AB268" s="19"/>
      <c r="AC268" s="4"/>
      <c r="AD268" s="15"/>
      <c r="AE268" s="14"/>
      <c r="AF268" s="14"/>
      <c r="AG268" s="14"/>
      <c r="AH268" s="18" t="str">
        <f aca="false">IF(AND(AC268="Sold",AE268&lt;&gt;"",AF268&lt;&gt;""),AE268-AF268,"")</f>
        <v/>
      </c>
      <c r="AI268" s="18" t="str">
        <f aca="false">IF(AND(AC268="Sold",AF268&lt;&gt;"",X268&lt;&gt;""),AF268-N(AG268)-X268,"")</f>
        <v/>
      </c>
      <c r="AJ268" s="20" t="str">
        <f aca="false">IF(AND(AI268&lt;&gt;"",N(AE268)&gt;0),AI268/AE268,"")</f>
        <v/>
      </c>
      <c r="AK268" s="20" t="str">
        <f aca="false">IF(AND(AI268&lt;&gt;"",N(X268)&gt;0),AI268/X268,"")</f>
        <v/>
      </c>
      <c r="AL268" s="21" t="str">
        <f aca="false">IF(AND(AC268="Sold",AD268&lt;&gt;"",Z268&lt;&gt;""),AD268-Z268,"")</f>
        <v/>
      </c>
      <c r="AM268" s="20" t="str">
        <f aca="false">IF(AND(AC268="Sold",N(AA268)&gt;0,AE268&lt;&gt;""),1-AE268/AA268,"")</f>
        <v/>
      </c>
      <c r="AN268" s="21" t="str">
        <f aca="true">IF(AND(AC268&lt;&gt;"Sold",AC268&lt;&gt;"",Z268&lt;&gt;""),TODAY()-Z268,"")</f>
        <v/>
      </c>
      <c r="AO268" s="4"/>
      <c r="AP268" s="4"/>
    </row>
    <row r="269" customFormat="false" ht="1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14"/>
      <c r="O269" s="15"/>
      <c r="P269" s="16"/>
      <c r="Q269" s="4"/>
      <c r="R269" s="17"/>
      <c r="S269" s="18" t="str">
        <f aca="false">IF(OR(P269="",R269=""),"",P269*R269)</f>
        <v/>
      </c>
      <c r="T269" s="14"/>
      <c r="U269" s="14"/>
      <c r="V269" s="14"/>
      <c r="W269" s="14"/>
      <c r="X269" s="18" t="str">
        <f aca="false">IF(S269="","",S269+N(T269)+N(U269)+N(V269)+N(W269))</f>
        <v/>
      </c>
      <c r="Y269" s="4"/>
      <c r="Z269" s="15"/>
      <c r="AA269" s="14"/>
      <c r="AB269" s="19"/>
      <c r="AC269" s="4"/>
      <c r="AD269" s="15"/>
      <c r="AE269" s="14"/>
      <c r="AF269" s="14"/>
      <c r="AG269" s="14"/>
      <c r="AH269" s="18" t="str">
        <f aca="false">IF(AND(AC269="Sold",AE269&lt;&gt;"",AF269&lt;&gt;""),AE269-AF269,"")</f>
        <v/>
      </c>
      <c r="AI269" s="18" t="str">
        <f aca="false">IF(AND(AC269="Sold",AF269&lt;&gt;"",X269&lt;&gt;""),AF269-N(AG269)-X269,"")</f>
        <v/>
      </c>
      <c r="AJ269" s="20" t="str">
        <f aca="false">IF(AND(AI269&lt;&gt;"",N(AE269)&gt;0),AI269/AE269,"")</f>
        <v/>
      </c>
      <c r="AK269" s="20" t="str">
        <f aca="false">IF(AND(AI269&lt;&gt;"",N(X269)&gt;0),AI269/X269,"")</f>
        <v/>
      </c>
      <c r="AL269" s="21" t="str">
        <f aca="false">IF(AND(AC269="Sold",AD269&lt;&gt;"",Z269&lt;&gt;""),AD269-Z269,"")</f>
        <v/>
      </c>
      <c r="AM269" s="20" t="str">
        <f aca="false">IF(AND(AC269="Sold",N(AA269)&gt;0,AE269&lt;&gt;""),1-AE269/AA269,"")</f>
        <v/>
      </c>
      <c r="AN269" s="21" t="str">
        <f aca="true">IF(AND(AC269&lt;&gt;"Sold",AC269&lt;&gt;"",Z269&lt;&gt;""),TODAY()-Z269,"")</f>
        <v/>
      </c>
      <c r="AO269" s="4"/>
      <c r="AP269" s="4"/>
    </row>
    <row r="270" customFormat="false" ht="1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14"/>
      <c r="O270" s="15"/>
      <c r="P270" s="16"/>
      <c r="Q270" s="4"/>
      <c r="R270" s="17"/>
      <c r="S270" s="18" t="str">
        <f aca="false">IF(OR(P270="",R270=""),"",P270*R270)</f>
        <v/>
      </c>
      <c r="T270" s="14"/>
      <c r="U270" s="14"/>
      <c r="V270" s="14"/>
      <c r="W270" s="14"/>
      <c r="X270" s="18" t="str">
        <f aca="false">IF(S270="","",S270+N(T270)+N(U270)+N(V270)+N(W270))</f>
        <v/>
      </c>
      <c r="Y270" s="4"/>
      <c r="Z270" s="15"/>
      <c r="AA270" s="14"/>
      <c r="AB270" s="19"/>
      <c r="AC270" s="4"/>
      <c r="AD270" s="15"/>
      <c r="AE270" s="14"/>
      <c r="AF270" s="14"/>
      <c r="AG270" s="14"/>
      <c r="AH270" s="18" t="str">
        <f aca="false">IF(AND(AC270="Sold",AE270&lt;&gt;"",AF270&lt;&gt;""),AE270-AF270,"")</f>
        <v/>
      </c>
      <c r="AI270" s="18" t="str">
        <f aca="false">IF(AND(AC270="Sold",AF270&lt;&gt;"",X270&lt;&gt;""),AF270-N(AG270)-X270,"")</f>
        <v/>
      </c>
      <c r="AJ270" s="20" t="str">
        <f aca="false">IF(AND(AI270&lt;&gt;"",N(AE270)&gt;0),AI270/AE270,"")</f>
        <v/>
      </c>
      <c r="AK270" s="20" t="str">
        <f aca="false">IF(AND(AI270&lt;&gt;"",N(X270)&gt;0),AI270/X270,"")</f>
        <v/>
      </c>
      <c r="AL270" s="21" t="str">
        <f aca="false">IF(AND(AC270="Sold",AD270&lt;&gt;"",Z270&lt;&gt;""),AD270-Z270,"")</f>
        <v/>
      </c>
      <c r="AM270" s="20" t="str">
        <f aca="false">IF(AND(AC270="Sold",N(AA270)&gt;0,AE270&lt;&gt;""),1-AE270/AA270,"")</f>
        <v/>
      </c>
      <c r="AN270" s="21" t="str">
        <f aca="true">IF(AND(AC270&lt;&gt;"Sold",AC270&lt;&gt;"",Z270&lt;&gt;""),TODAY()-Z270,"")</f>
        <v/>
      </c>
      <c r="AO270" s="4"/>
      <c r="AP270" s="4"/>
    </row>
    <row r="271" customFormat="false" ht="1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14"/>
      <c r="O271" s="15"/>
      <c r="P271" s="16"/>
      <c r="Q271" s="4"/>
      <c r="R271" s="17"/>
      <c r="S271" s="18" t="str">
        <f aca="false">IF(OR(P271="",R271=""),"",P271*R271)</f>
        <v/>
      </c>
      <c r="T271" s="14"/>
      <c r="U271" s="14"/>
      <c r="V271" s="14"/>
      <c r="W271" s="14"/>
      <c r="X271" s="18" t="str">
        <f aca="false">IF(S271="","",S271+N(T271)+N(U271)+N(V271)+N(W271))</f>
        <v/>
      </c>
      <c r="Y271" s="4"/>
      <c r="Z271" s="15"/>
      <c r="AA271" s="14"/>
      <c r="AB271" s="19"/>
      <c r="AC271" s="4"/>
      <c r="AD271" s="15"/>
      <c r="AE271" s="14"/>
      <c r="AF271" s="14"/>
      <c r="AG271" s="14"/>
      <c r="AH271" s="18" t="str">
        <f aca="false">IF(AND(AC271="Sold",AE271&lt;&gt;"",AF271&lt;&gt;""),AE271-AF271,"")</f>
        <v/>
      </c>
      <c r="AI271" s="18" t="str">
        <f aca="false">IF(AND(AC271="Sold",AF271&lt;&gt;"",X271&lt;&gt;""),AF271-N(AG271)-X271,"")</f>
        <v/>
      </c>
      <c r="AJ271" s="20" t="str">
        <f aca="false">IF(AND(AI271&lt;&gt;"",N(AE271)&gt;0),AI271/AE271,"")</f>
        <v/>
      </c>
      <c r="AK271" s="20" t="str">
        <f aca="false">IF(AND(AI271&lt;&gt;"",N(X271)&gt;0),AI271/X271,"")</f>
        <v/>
      </c>
      <c r="AL271" s="21" t="str">
        <f aca="false">IF(AND(AC271="Sold",AD271&lt;&gt;"",Z271&lt;&gt;""),AD271-Z271,"")</f>
        <v/>
      </c>
      <c r="AM271" s="20" t="str">
        <f aca="false">IF(AND(AC271="Sold",N(AA271)&gt;0,AE271&lt;&gt;""),1-AE271/AA271,"")</f>
        <v/>
      </c>
      <c r="AN271" s="21" t="str">
        <f aca="true">IF(AND(AC271&lt;&gt;"Sold",AC271&lt;&gt;"",Z271&lt;&gt;""),TODAY()-Z271,"")</f>
        <v/>
      </c>
      <c r="AO271" s="4"/>
      <c r="AP271" s="4"/>
    </row>
    <row r="272" customFormat="false" ht="1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14"/>
      <c r="O272" s="15"/>
      <c r="P272" s="16"/>
      <c r="Q272" s="4"/>
      <c r="R272" s="17"/>
      <c r="S272" s="18" t="str">
        <f aca="false">IF(OR(P272="",R272=""),"",P272*R272)</f>
        <v/>
      </c>
      <c r="T272" s="14"/>
      <c r="U272" s="14"/>
      <c r="V272" s="14"/>
      <c r="W272" s="14"/>
      <c r="X272" s="18" t="str">
        <f aca="false">IF(S272="","",S272+N(T272)+N(U272)+N(V272)+N(W272))</f>
        <v/>
      </c>
      <c r="Y272" s="4"/>
      <c r="Z272" s="15"/>
      <c r="AA272" s="14"/>
      <c r="AB272" s="19"/>
      <c r="AC272" s="4"/>
      <c r="AD272" s="15"/>
      <c r="AE272" s="14"/>
      <c r="AF272" s="14"/>
      <c r="AG272" s="14"/>
      <c r="AH272" s="18" t="str">
        <f aca="false">IF(AND(AC272="Sold",AE272&lt;&gt;"",AF272&lt;&gt;""),AE272-AF272,"")</f>
        <v/>
      </c>
      <c r="AI272" s="18" t="str">
        <f aca="false">IF(AND(AC272="Sold",AF272&lt;&gt;"",X272&lt;&gt;""),AF272-N(AG272)-X272,"")</f>
        <v/>
      </c>
      <c r="AJ272" s="20" t="str">
        <f aca="false">IF(AND(AI272&lt;&gt;"",N(AE272)&gt;0),AI272/AE272,"")</f>
        <v/>
      </c>
      <c r="AK272" s="20" t="str">
        <f aca="false">IF(AND(AI272&lt;&gt;"",N(X272)&gt;0),AI272/X272,"")</f>
        <v/>
      </c>
      <c r="AL272" s="21" t="str">
        <f aca="false">IF(AND(AC272="Sold",AD272&lt;&gt;"",Z272&lt;&gt;""),AD272-Z272,"")</f>
        <v/>
      </c>
      <c r="AM272" s="20" t="str">
        <f aca="false">IF(AND(AC272="Sold",N(AA272)&gt;0,AE272&lt;&gt;""),1-AE272/AA272,"")</f>
        <v/>
      </c>
      <c r="AN272" s="21" t="str">
        <f aca="true">IF(AND(AC272&lt;&gt;"Sold",AC272&lt;&gt;"",Z272&lt;&gt;""),TODAY()-Z272,"")</f>
        <v/>
      </c>
      <c r="AO272" s="4"/>
      <c r="AP272" s="4"/>
    </row>
    <row r="273" customFormat="false" ht="1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14"/>
      <c r="O273" s="15"/>
      <c r="P273" s="16"/>
      <c r="Q273" s="4"/>
      <c r="R273" s="17"/>
      <c r="S273" s="18" t="str">
        <f aca="false">IF(OR(P273="",R273=""),"",P273*R273)</f>
        <v/>
      </c>
      <c r="T273" s="14"/>
      <c r="U273" s="14"/>
      <c r="V273" s="14"/>
      <c r="W273" s="14"/>
      <c r="X273" s="18" t="str">
        <f aca="false">IF(S273="","",S273+N(T273)+N(U273)+N(V273)+N(W273))</f>
        <v/>
      </c>
      <c r="Y273" s="4"/>
      <c r="Z273" s="15"/>
      <c r="AA273" s="14"/>
      <c r="AB273" s="19"/>
      <c r="AC273" s="4"/>
      <c r="AD273" s="15"/>
      <c r="AE273" s="14"/>
      <c r="AF273" s="14"/>
      <c r="AG273" s="14"/>
      <c r="AH273" s="18" t="str">
        <f aca="false">IF(AND(AC273="Sold",AE273&lt;&gt;"",AF273&lt;&gt;""),AE273-AF273,"")</f>
        <v/>
      </c>
      <c r="AI273" s="18" t="str">
        <f aca="false">IF(AND(AC273="Sold",AF273&lt;&gt;"",X273&lt;&gt;""),AF273-N(AG273)-X273,"")</f>
        <v/>
      </c>
      <c r="AJ273" s="20" t="str">
        <f aca="false">IF(AND(AI273&lt;&gt;"",N(AE273)&gt;0),AI273/AE273,"")</f>
        <v/>
      </c>
      <c r="AK273" s="20" t="str">
        <f aca="false">IF(AND(AI273&lt;&gt;"",N(X273)&gt;0),AI273/X273,"")</f>
        <v/>
      </c>
      <c r="AL273" s="21" t="str">
        <f aca="false">IF(AND(AC273="Sold",AD273&lt;&gt;"",Z273&lt;&gt;""),AD273-Z273,"")</f>
        <v/>
      </c>
      <c r="AM273" s="20" t="str">
        <f aca="false">IF(AND(AC273="Sold",N(AA273)&gt;0,AE273&lt;&gt;""),1-AE273/AA273,"")</f>
        <v/>
      </c>
      <c r="AN273" s="21" t="str">
        <f aca="true">IF(AND(AC273&lt;&gt;"Sold",AC273&lt;&gt;"",Z273&lt;&gt;""),TODAY()-Z273,"")</f>
        <v/>
      </c>
      <c r="AO273" s="4"/>
      <c r="AP273" s="4"/>
    </row>
    <row r="274" customFormat="false" ht="1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14"/>
      <c r="O274" s="15"/>
      <c r="P274" s="16"/>
      <c r="Q274" s="4"/>
      <c r="R274" s="17"/>
      <c r="S274" s="18" t="str">
        <f aca="false">IF(OR(P274="",R274=""),"",P274*R274)</f>
        <v/>
      </c>
      <c r="T274" s="14"/>
      <c r="U274" s="14"/>
      <c r="V274" s="14"/>
      <c r="W274" s="14"/>
      <c r="X274" s="18" t="str">
        <f aca="false">IF(S274="","",S274+N(T274)+N(U274)+N(V274)+N(W274))</f>
        <v/>
      </c>
      <c r="Y274" s="4"/>
      <c r="Z274" s="15"/>
      <c r="AA274" s="14"/>
      <c r="AB274" s="19"/>
      <c r="AC274" s="4"/>
      <c r="AD274" s="15"/>
      <c r="AE274" s="14"/>
      <c r="AF274" s="14"/>
      <c r="AG274" s="14"/>
      <c r="AH274" s="18" t="str">
        <f aca="false">IF(AND(AC274="Sold",AE274&lt;&gt;"",AF274&lt;&gt;""),AE274-AF274,"")</f>
        <v/>
      </c>
      <c r="AI274" s="18" t="str">
        <f aca="false">IF(AND(AC274="Sold",AF274&lt;&gt;"",X274&lt;&gt;""),AF274-N(AG274)-X274,"")</f>
        <v/>
      </c>
      <c r="AJ274" s="20" t="str">
        <f aca="false">IF(AND(AI274&lt;&gt;"",N(AE274)&gt;0),AI274/AE274,"")</f>
        <v/>
      </c>
      <c r="AK274" s="20" t="str">
        <f aca="false">IF(AND(AI274&lt;&gt;"",N(X274)&gt;0),AI274/X274,"")</f>
        <v/>
      </c>
      <c r="AL274" s="21" t="str">
        <f aca="false">IF(AND(AC274="Sold",AD274&lt;&gt;"",Z274&lt;&gt;""),AD274-Z274,"")</f>
        <v/>
      </c>
      <c r="AM274" s="20" t="str">
        <f aca="false">IF(AND(AC274="Sold",N(AA274)&gt;0,AE274&lt;&gt;""),1-AE274/AA274,"")</f>
        <v/>
      </c>
      <c r="AN274" s="21" t="str">
        <f aca="true">IF(AND(AC274&lt;&gt;"Sold",AC274&lt;&gt;"",Z274&lt;&gt;""),TODAY()-Z274,"")</f>
        <v/>
      </c>
      <c r="AO274" s="4"/>
      <c r="AP274" s="4"/>
    </row>
    <row r="275" customFormat="false" ht="1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14"/>
      <c r="O275" s="15"/>
      <c r="P275" s="16"/>
      <c r="Q275" s="4"/>
      <c r="R275" s="17"/>
      <c r="S275" s="18" t="str">
        <f aca="false">IF(OR(P275="",R275=""),"",P275*R275)</f>
        <v/>
      </c>
      <c r="T275" s="14"/>
      <c r="U275" s="14"/>
      <c r="V275" s="14"/>
      <c r="W275" s="14"/>
      <c r="X275" s="18" t="str">
        <f aca="false">IF(S275="","",S275+N(T275)+N(U275)+N(V275)+N(W275))</f>
        <v/>
      </c>
      <c r="Y275" s="4"/>
      <c r="Z275" s="15"/>
      <c r="AA275" s="14"/>
      <c r="AB275" s="19"/>
      <c r="AC275" s="4"/>
      <c r="AD275" s="15"/>
      <c r="AE275" s="14"/>
      <c r="AF275" s="14"/>
      <c r="AG275" s="14"/>
      <c r="AH275" s="18" t="str">
        <f aca="false">IF(AND(AC275="Sold",AE275&lt;&gt;"",AF275&lt;&gt;""),AE275-AF275,"")</f>
        <v/>
      </c>
      <c r="AI275" s="18" t="str">
        <f aca="false">IF(AND(AC275="Sold",AF275&lt;&gt;"",X275&lt;&gt;""),AF275-N(AG275)-X275,"")</f>
        <v/>
      </c>
      <c r="AJ275" s="20" t="str">
        <f aca="false">IF(AND(AI275&lt;&gt;"",N(AE275)&gt;0),AI275/AE275,"")</f>
        <v/>
      </c>
      <c r="AK275" s="20" t="str">
        <f aca="false">IF(AND(AI275&lt;&gt;"",N(X275)&gt;0),AI275/X275,"")</f>
        <v/>
      </c>
      <c r="AL275" s="21" t="str">
        <f aca="false">IF(AND(AC275="Sold",AD275&lt;&gt;"",Z275&lt;&gt;""),AD275-Z275,"")</f>
        <v/>
      </c>
      <c r="AM275" s="20" t="str">
        <f aca="false">IF(AND(AC275="Sold",N(AA275)&gt;0,AE275&lt;&gt;""),1-AE275/AA275,"")</f>
        <v/>
      </c>
      <c r="AN275" s="21" t="str">
        <f aca="true">IF(AND(AC275&lt;&gt;"Sold",AC275&lt;&gt;"",Z275&lt;&gt;""),TODAY()-Z275,"")</f>
        <v/>
      </c>
      <c r="AO275" s="4"/>
      <c r="AP275" s="4"/>
    </row>
    <row r="276" customFormat="false" ht="1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14"/>
      <c r="O276" s="15"/>
      <c r="P276" s="16"/>
      <c r="Q276" s="4"/>
      <c r="R276" s="17"/>
      <c r="S276" s="18" t="str">
        <f aca="false">IF(OR(P276="",R276=""),"",P276*R276)</f>
        <v/>
      </c>
      <c r="T276" s="14"/>
      <c r="U276" s="14"/>
      <c r="V276" s="14"/>
      <c r="W276" s="14"/>
      <c r="X276" s="18" t="str">
        <f aca="false">IF(S276="","",S276+N(T276)+N(U276)+N(V276)+N(W276))</f>
        <v/>
      </c>
      <c r="Y276" s="4"/>
      <c r="Z276" s="15"/>
      <c r="AA276" s="14"/>
      <c r="AB276" s="19"/>
      <c r="AC276" s="4"/>
      <c r="AD276" s="15"/>
      <c r="AE276" s="14"/>
      <c r="AF276" s="14"/>
      <c r="AG276" s="14"/>
      <c r="AH276" s="18" t="str">
        <f aca="false">IF(AND(AC276="Sold",AE276&lt;&gt;"",AF276&lt;&gt;""),AE276-AF276,"")</f>
        <v/>
      </c>
      <c r="AI276" s="18" t="str">
        <f aca="false">IF(AND(AC276="Sold",AF276&lt;&gt;"",X276&lt;&gt;""),AF276-N(AG276)-X276,"")</f>
        <v/>
      </c>
      <c r="AJ276" s="20" t="str">
        <f aca="false">IF(AND(AI276&lt;&gt;"",N(AE276)&gt;0),AI276/AE276,"")</f>
        <v/>
      </c>
      <c r="AK276" s="20" t="str">
        <f aca="false">IF(AND(AI276&lt;&gt;"",N(X276)&gt;0),AI276/X276,"")</f>
        <v/>
      </c>
      <c r="AL276" s="21" t="str">
        <f aca="false">IF(AND(AC276="Sold",AD276&lt;&gt;"",Z276&lt;&gt;""),AD276-Z276,"")</f>
        <v/>
      </c>
      <c r="AM276" s="20" t="str">
        <f aca="false">IF(AND(AC276="Sold",N(AA276)&gt;0,AE276&lt;&gt;""),1-AE276/AA276,"")</f>
        <v/>
      </c>
      <c r="AN276" s="21" t="str">
        <f aca="true">IF(AND(AC276&lt;&gt;"Sold",AC276&lt;&gt;"",Z276&lt;&gt;""),TODAY()-Z276,"")</f>
        <v/>
      </c>
      <c r="AO276" s="4"/>
      <c r="AP276" s="4"/>
    </row>
    <row r="277" customFormat="false" ht="1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14"/>
      <c r="O277" s="15"/>
      <c r="P277" s="16"/>
      <c r="Q277" s="4"/>
      <c r="R277" s="17"/>
      <c r="S277" s="18" t="str">
        <f aca="false">IF(OR(P277="",R277=""),"",P277*R277)</f>
        <v/>
      </c>
      <c r="T277" s="14"/>
      <c r="U277" s="14"/>
      <c r="V277" s="14"/>
      <c r="W277" s="14"/>
      <c r="X277" s="18" t="str">
        <f aca="false">IF(S277="","",S277+N(T277)+N(U277)+N(V277)+N(W277))</f>
        <v/>
      </c>
      <c r="Y277" s="4"/>
      <c r="Z277" s="15"/>
      <c r="AA277" s="14"/>
      <c r="AB277" s="19"/>
      <c r="AC277" s="4"/>
      <c r="AD277" s="15"/>
      <c r="AE277" s="14"/>
      <c r="AF277" s="14"/>
      <c r="AG277" s="14"/>
      <c r="AH277" s="18" t="str">
        <f aca="false">IF(AND(AC277="Sold",AE277&lt;&gt;"",AF277&lt;&gt;""),AE277-AF277,"")</f>
        <v/>
      </c>
      <c r="AI277" s="18" t="str">
        <f aca="false">IF(AND(AC277="Sold",AF277&lt;&gt;"",X277&lt;&gt;""),AF277-N(AG277)-X277,"")</f>
        <v/>
      </c>
      <c r="AJ277" s="20" t="str">
        <f aca="false">IF(AND(AI277&lt;&gt;"",N(AE277)&gt;0),AI277/AE277,"")</f>
        <v/>
      </c>
      <c r="AK277" s="20" t="str">
        <f aca="false">IF(AND(AI277&lt;&gt;"",N(X277)&gt;0),AI277/X277,"")</f>
        <v/>
      </c>
      <c r="AL277" s="21" t="str">
        <f aca="false">IF(AND(AC277="Sold",AD277&lt;&gt;"",Z277&lt;&gt;""),AD277-Z277,"")</f>
        <v/>
      </c>
      <c r="AM277" s="20" t="str">
        <f aca="false">IF(AND(AC277="Sold",N(AA277)&gt;0,AE277&lt;&gt;""),1-AE277/AA277,"")</f>
        <v/>
      </c>
      <c r="AN277" s="21" t="str">
        <f aca="true">IF(AND(AC277&lt;&gt;"Sold",AC277&lt;&gt;"",Z277&lt;&gt;""),TODAY()-Z277,"")</f>
        <v/>
      </c>
      <c r="AO277" s="4"/>
      <c r="AP277" s="4"/>
    </row>
    <row r="278" customFormat="false" ht="1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14"/>
      <c r="O278" s="15"/>
      <c r="P278" s="16"/>
      <c r="Q278" s="4"/>
      <c r="R278" s="17"/>
      <c r="S278" s="18" t="str">
        <f aca="false">IF(OR(P278="",R278=""),"",P278*R278)</f>
        <v/>
      </c>
      <c r="T278" s="14"/>
      <c r="U278" s="14"/>
      <c r="V278" s="14"/>
      <c r="W278" s="14"/>
      <c r="X278" s="18" t="str">
        <f aca="false">IF(S278="","",S278+N(T278)+N(U278)+N(V278)+N(W278))</f>
        <v/>
      </c>
      <c r="Y278" s="4"/>
      <c r="Z278" s="15"/>
      <c r="AA278" s="14"/>
      <c r="AB278" s="19"/>
      <c r="AC278" s="4"/>
      <c r="AD278" s="15"/>
      <c r="AE278" s="14"/>
      <c r="AF278" s="14"/>
      <c r="AG278" s="14"/>
      <c r="AH278" s="18" t="str">
        <f aca="false">IF(AND(AC278="Sold",AE278&lt;&gt;"",AF278&lt;&gt;""),AE278-AF278,"")</f>
        <v/>
      </c>
      <c r="AI278" s="18" t="str">
        <f aca="false">IF(AND(AC278="Sold",AF278&lt;&gt;"",X278&lt;&gt;""),AF278-N(AG278)-X278,"")</f>
        <v/>
      </c>
      <c r="AJ278" s="20" t="str">
        <f aca="false">IF(AND(AI278&lt;&gt;"",N(AE278)&gt;0),AI278/AE278,"")</f>
        <v/>
      </c>
      <c r="AK278" s="20" t="str">
        <f aca="false">IF(AND(AI278&lt;&gt;"",N(X278)&gt;0),AI278/X278,"")</f>
        <v/>
      </c>
      <c r="AL278" s="21" t="str">
        <f aca="false">IF(AND(AC278="Sold",AD278&lt;&gt;"",Z278&lt;&gt;""),AD278-Z278,"")</f>
        <v/>
      </c>
      <c r="AM278" s="20" t="str">
        <f aca="false">IF(AND(AC278="Sold",N(AA278)&gt;0,AE278&lt;&gt;""),1-AE278/AA278,"")</f>
        <v/>
      </c>
      <c r="AN278" s="21" t="str">
        <f aca="true">IF(AND(AC278&lt;&gt;"Sold",AC278&lt;&gt;"",Z278&lt;&gt;""),TODAY()-Z278,"")</f>
        <v/>
      </c>
      <c r="AO278" s="4"/>
      <c r="AP278" s="4"/>
    </row>
    <row r="279" customFormat="false" ht="1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14"/>
      <c r="O279" s="15"/>
      <c r="P279" s="16"/>
      <c r="Q279" s="4"/>
      <c r="R279" s="17"/>
      <c r="S279" s="18" t="str">
        <f aca="false">IF(OR(P279="",R279=""),"",P279*R279)</f>
        <v/>
      </c>
      <c r="T279" s="14"/>
      <c r="U279" s="14"/>
      <c r="V279" s="14"/>
      <c r="W279" s="14"/>
      <c r="X279" s="18" t="str">
        <f aca="false">IF(S279="","",S279+N(T279)+N(U279)+N(V279)+N(W279))</f>
        <v/>
      </c>
      <c r="Y279" s="4"/>
      <c r="Z279" s="15"/>
      <c r="AA279" s="14"/>
      <c r="AB279" s="19"/>
      <c r="AC279" s="4"/>
      <c r="AD279" s="15"/>
      <c r="AE279" s="14"/>
      <c r="AF279" s="14"/>
      <c r="AG279" s="14"/>
      <c r="AH279" s="18" t="str">
        <f aca="false">IF(AND(AC279="Sold",AE279&lt;&gt;"",AF279&lt;&gt;""),AE279-AF279,"")</f>
        <v/>
      </c>
      <c r="AI279" s="18" t="str">
        <f aca="false">IF(AND(AC279="Sold",AF279&lt;&gt;"",X279&lt;&gt;""),AF279-N(AG279)-X279,"")</f>
        <v/>
      </c>
      <c r="AJ279" s="20" t="str">
        <f aca="false">IF(AND(AI279&lt;&gt;"",N(AE279)&gt;0),AI279/AE279,"")</f>
        <v/>
      </c>
      <c r="AK279" s="20" t="str">
        <f aca="false">IF(AND(AI279&lt;&gt;"",N(X279)&gt;0),AI279/X279,"")</f>
        <v/>
      </c>
      <c r="AL279" s="21" t="str">
        <f aca="false">IF(AND(AC279="Sold",AD279&lt;&gt;"",Z279&lt;&gt;""),AD279-Z279,"")</f>
        <v/>
      </c>
      <c r="AM279" s="20" t="str">
        <f aca="false">IF(AND(AC279="Sold",N(AA279)&gt;0,AE279&lt;&gt;""),1-AE279/AA279,"")</f>
        <v/>
      </c>
      <c r="AN279" s="21" t="str">
        <f aca="true">IF(AND(AC279&lt;&gt;"Sold",AC279&lt;&gt;"",Z279&lt;&gt;""),TODAY()-Z279,"")</f>
        <v/>
      </c>
      <c r="AO279" s="4"/>
      <c r="AP279" s="4"/>
    </row>
    <row r="280" customFormat="false" ht="1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14"/>
      <c r="O280" s="15"/>
      <c r="P280" s="16"/>
      <c r="Q280" s="4"/>
      <c r="R280" s="17"/>
      <c r="S280" s="18" t="str">
        <f aca="false">IF(OR(P280="",R280=""),"",P280*R280)</f>
        <v/>
      </c>
      <c r="T280" s="14"/>
      <c r="U280" s="14"/>
      <c r="V280" s="14"/>
      <c r="W280" s="14"/>
      <c r="X280" s="18" t="str">
        <f aca="false">IF(S280="","",S280+N(T280)+N(U280)+N(V280)+N(W280))</f>
        <v/>
      </c>
      <c r="Y280" s="4"/>
      <c r="Z280" s="15"/>
      <c r="AA280" s="14"/>
      <c r="AB280" s="19"/>
      <c r="AC280" s="4"/>
      <c r="AD280" s="15"/>
      <c r="AE280" s="14"/>
      <c r="AF280" s="14"/>
      <c r="AG280" s="14"/>
      <c r="AH280" s="18" t="str">
        <f aca="false">IF(AND(AC280="Sold",AE280&lt;&gt;"",AF280&lt;&gt;""),AE280-AF280,"")</f>
        <v/>
      </c>
      <c r="AI280" s="18" t="str">
        <f aca="false">IF(AND(AC280="Sold",AF280&lt;&gt;"",X280&lt;&gt;""),AF280-N(AG280)-X280,"")</f>
        <v/>
      </c>
      <c r="AJ280" s="20" t="str">
        <f aca="false">IF(AND(AI280&lt;&gt;"",N(AE280)&gt;0),AI280/AE280,"")</f>
        <v/>
      </c>
      <c r="AK280" s="20" t="str">
        <f aca="false">IF(AND(AI280&lt;&gt;"",N(X280)&gt;0),AI280/X280,"")</f>
        <v/>
      </c>
      <c r="AL280" s="21" t="str">
        <f aca="false">IF(AND(AC280="Sold",AD280&lt;&gt;"",Z280&lt;&gt;""),AD280-Z280,"")</f>
        <v/>
      </c>
      <c r="AM280" s="20" t="str">
        <f aca="false">IF(AND(AC280="Sold",N(AA280)&gt;0,AE280&lt;&gt;""),1-AE280/AA280,"")</f>
        <v/>
      </c>
      <c r="AN280" s="21" t="str">
        <f aca="true">IF(AND(AC280&lt;&gt;"Sold",AC280&lt;&gt;"",Z280&lt;&gt;""),TODAY()-Z280,"")</f>
        <v/>
      </c>
      <c r="AO280" s="4"/>
      <c r="AP280" s="4"/>
    </row>
    <row r="281" customFormat="false" ht="1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14"/>
      <c r="O281" s="15"/>
      <c r="P281" s="16"/>
      <c r="Q281" s="4"/>
      <c r="R281" s="17"/>
      <c r="S281" s="18" t="str">
        <f aca="false">IF(OR(P281="",R281=""),"",P281*R281)</f>
        <v/>
      </c>
      <c r="T281" s="14"/>
      <c r="U281" s="14"/>
      <c r="V281" s="14"/>
      <c r="W281" s="14"/>
      <c r="X281" s="18" t="str">
        <f aca="false">IF(S281="","",S281+N(T281)+N(U281)+N(V281)+N(W281))</f>
        <v/>
      </c>
      <c r="Y281" s="4"/>
      <c r="Z281" s="15"/>
      <c r="AA281" s="14"/>
      <c r="AB281" s="19"/>
      <c r="AC281" s="4"/>
      <c r="AD281" s="15"/>
      <c r="AE281" s="14"/>
      <c r="AF281" s="14"/>
      <c r="AG281" s="14"/>
      <c r="AH281" s="18" t="str">
        <f aca="false">IF(AND(AC281="Sold",AE281&lt;&gt;"",AF281&lt;&gt;""),AE281-AF281,"")</f>
        <v/>
      </c>
      <c r="AI281" s="18" t="str">
        <f aca="false">IF(AND(AC281="Sold",AF281&lt;&gt;"",X281&lt;&gt;""),AF281-N(AG281)-X281,"")</f>
        <v/>
      </c>
      <c r="AJ281" s="20" t="str">
        <f aca="false">IF(AND(AI281&lt;&gt;"",N(AE281)&gt;0),AI281/AE281,"")</f>
        <v/>
      </c>
      <c r="AK281" s="20" t="str">
        <f aca="false">IF(AND(AI281&lt;&gt;"",N(X281)&gt;0),AI281/X281,"")</f>
        <v/>
      </c>
      <c r="AL281" s="21" t="str">
        <f aca="false">IF(AND(AC281="Sold",AD281&lt;&gt;"",Z281&lt;&gt;""),AD281-Z281,"")</f>
        <v/>
      </c>
      <c r="AM281" s="20" t="str">
        <f aca="false">IF(AND(AC281="Sold",N(AA281)&gt;0,AE281&lt;&gt;""),1-AE281/AA281,"")</f>
        <v/>
      </c>
      <c r="AN281" s="21" t="str">
        <f aca="true">IF(AND(AC281&lt;&gt;"Sold",AC281&lt;&gt;"",Z281&lt;&gt;""),TODAY()-Z281,"")</f>
        <v/>
      </c>
      <c r="AO281" s="4"/>
      <c r="AP281" s="4"/>
    </row>
    <row r="282" customFormat="false" ht="1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14"/>
      <c r="O282" s="15"/>
      <c r="P282" s="16"/>
      <c r="Q282" s="4"/>
      <c r="R282" s="17"/>
      <c r="S282" s="18" t="str">
        <f aca="false">IF(OR(P282="",R282=""),"",P282*R282)</f>
        <v/>
      </c>
      <c r="T282" s="14"/>
      <c r="U282" s="14"/>
      <c r="V282" s="14"/>
      <c r="W282" s="14"/>
      <c r="X282" s="18" t="str">
        <f aca="false">IF(S282="","",S282+N(T282)+N(U282)+N(V282)+N(W282))</f>
        <v/>
      </c>
      <c r="Y282" s="4"/>
      <c r="Z282" s="15"/>
      <c r="AA282" s="14"/>
      <c r="AB282" s="19"/>
      <c r="AC282" s="4"/>
      <c r="AD282" s="15"/>
      <c r="AE282" s="14"/>
      <c r="AF282" s="14"/>
      <c r="AG282" s="14"/>
      <c r="AH282" s="18" t="str">
        <f aca="false">IF(AND(AC282="Sold",AE282&lt;&gt;"",AF282&lt;&gt;""),AE282-AF282,"")</f>
        <v/>
      </c>
      <c r="AI282" s="18" t="str">
        <f aca="false">IF(AND(AC282="Sold",AF282&lt;&gt;"",X282&lt;&gt;""),AF282-N(AG282)-X282,"")</f>
        <v/>
      </c>
      <c r="AJ282" s="20" t="str">
        <f aca="false">IF(AND(AI282&lt;&gt;"",N(AE282)&gt;0),AI282/AE282,"")</f>
        <v/>
      </c>
      <c r="AK282" s="20" t="str">
        <f aca="false">IF(AND(AI282&lt;&gt;"",N(X282)&gt;0),AI282/X282,"")</f>
        <v/>
      </c>
      <c r="AL282" s="21" t="str">
        <f aca="false">IF(AND(AC282="Sold",AD282&lt;&gt;"",Z282&lt;&gt;""),AD282-Z282,"")</f>
        <v/>
      </c>
      <c r="AM282" s="20" t="str">
        <f aca="false">IF(AND(AC282="Sold",N(AA282)&gt;0,AE282&lt;&gt;""),1-AE282/AA282,"")</f>
        <v/>
      </c>
      <c r="AN282" s="21" t="str">
        <f aca="true">IF(AND(AC282&lt;&gt;"Sold",AC282&lt;&gt;"",Z282&lt;&gt;""),TODAY()-Z282,"")</f>
        <v/>
      </c>
      <c r="AO282" s="4"/>
      <c r="AP282" s="4"/>
    </row>
    <row r="283" customFormat="false" ht="1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14"/>
      <c r="O283" s="15"/>
      <c r="P283" s="16"/>
      <c r="Q283" s="4"/>
      <c r="R283" s="17"/>
      <c r="S283" s="18" t="str">
        <f aca="false">IF(OR(P283="",R283=""),"",P283*R283)</f>
        <v/>
      </c>
      <c r="T283" s="14"/>
      <c r="U283" s="14"/>
      <c r="V283" s="14"/>
      <c r="W283" s="14"/>
      <c r="X283" s="18" t="str">
        <f aca="false">IF(S283="","",S283+N(T283)+N(U283)+N(V283)+N(W283))</f>
        <v/>
      </c>
      <c r="Y283" s="4"/>
      <c r="Z283" s="15"/>
      <c r="AA283" s="14"/>
      <c r="AB283" s="19"/>
      <c r="AC283" s="4"/>
      <c r="AD283" s="15"/>
      <c r="AE283" s="14"/>
      <c r="AF283" s="14"/>
      <c r="AG283" s="14"/>
      <c r="AH283" s="18" t="str">
        <f aca="false">IF(AND(AC283="Sold",AE283&lt;&gt;"",AF283&lt;&gt;""),AE283-AF283,"")</f>
        <v/>
      </c>
      <c r="AI283" s="18" t="str">
        <f aca="false">IF(AND(AC283="Sold",AF283&lt;&gt;"",X283&lt;&gt;""),AF283-N(AG283)-X283,"")</f>
        <v/>
      </c>
      <c r="AJ283" s="20" t="str">
        <f aca="false">IF(AND(AI283&lt;&gt;"",N(AE283)&gt;0),AI283/AE283,"")</f>
        <v/>
      </c>
      <c r="AK283" s="20" t="str">
        <f aca="false">IF(AND(AI283&lt;&gt;"",N(X283)&gt;0),AI283/X283,"")</f>
        <v/>
      </c>
      <c r="AL283" s="21" t="str">
        <f aca="false">IF(AND(AC283="Sold",AD283&lt;&gt;"",Z283&lt;&gt;""),AD283-Z283,"")</f>
        <v/>
      </c>
      <c r="AM283" s="20" t="str">
        <f aca="false">IF(AND(AC283="Sold",N(AA283)&gt;0,AE283&lt;&gt;""),1-AE283/AA283,"")</f>
        <v/>
      </c>
      <c r="AN283" s="21" t="str">
        <f aca="true">IF(AND(AC283&lt;&gt;"Sold",AC283&lt;&gt;"",Z283&lt;&gt;""),TODAY()-Z283,"")</f>
        <v/>
      </c>
      <c r="AO283" s="4"/>
      <c r="AP283" s="4"/>
    </row>
    <row r="284" customFormat="false" ht="1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14"/>
      <c r="O284" s="15"/>
      <c r="P284" s="16"/>
      <c r="Q284" s="4"/>
      <c r="R284" s="17"/>
      <c r="S284" s="18" t="str">
        <f aca="false">IF(OR(P284="",R284=""),"",P284*R284)</f>
        <v/>
      </c>
      <c r="T284" s="14"/>
      <c r="U284" s="14"/>
      <c r="V284" s="14"/>
      <c r="W284" s="14"/>
      <c r="X284" s="18" t="str">
        <f aca="false">IF(S284="","",S284+N(T284)+N(U284)+N(V284)+N(W284))</f>
        <v/>
      </c>
      <c r="Y284" s="4"/>
      <c r="Z284" s="15"/>
      <c r="AA284" s="14"/>
      <c r="AB284" s="19"/>
      <c r="AC284" s="4"/>
      <c r="AD284" s="15"/>
      <c r="AE284" s="14"/>
      <c r="AF284" s="14"/>
      <c r="AG284" s="14"/>
      <c r="AH284" s="18" t="str">
        <f aca="false">IF(AND(AC284="Sold",AE284&lt;&gt;"",AF284&lt;&gt;""),AE284-AF284,"")</f>
        <v/>
      </c>
      <c r="AI284" s="18" t="str">
        <f aca="false">IF(AND(AC284="Sold",AF284&lt;&gt;"",X284&lt;&gt;""),AF284-N(AG284)-X284,"")</f>
        <v/>
      </c>
      <c r="AJ284" s="20" t="str">
        <f aca="false">IF(AND(AI284&lt;&gt;"",N(AE284)&gt;0),AI284/AE284,"")</f>
        <v/>
      </c>
      <c r="AK284" s="20" t="str">
        <f aca="false">IF(AND(AI284&lt;&gt;"",N(X284)&gt;0),AI284/X284,"")</f>
        <v/>
      </c>
      <c r="AL284" s="21" t="str">
        <f aca="false">IF(AND(AC284="Sold",AD284&lt;&gt;"",Z284&lt;&gt;""),AD284-Z284,"")</f>
        <v/>
      </c>
      <c r="AM284" s="20" t="str">
        <f aca="false">IF(AND(AC284="Sold",N(AA284)&gt;0,AE284&lt;&gt;""),1-AE284/AA284,"")</f>
        <v/>
      </c>
      <c r="AN284" s="21" t="str">
        <f aca="true">IF(AND(AC284&lt;&gt;"Sold",AC284&lt;&gt;"",Z284&lt;&gt;""),TODAY()-Z284,"")</f>
        <v/>
      </c>
      <c r="AO284" s="4"/>
      <c r="AP284" s="4"/>
    </row>
    <row r="285" customFormat="false" ht="1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14"/>
      <c r="O285" s="15"/>
      <c r="P285" s="16"/>
      <c r="Q285" s="4"/>
      <c r="R285" s="17"/>
      <c r="S285" s="18" t="str">
        <f aca="false">IF(OR(P285="",R285=""),"",P285*R285)</f>
        <v/>
      </c>
      <c r="T285" s="14"/>
      <c r="U285" s="14"/>
      <c r="V285" s="14"/>
      <c r="W285" s="14"/>
      <c r="X285" s="18" t="str">
        <f aca="false">IF(S285="","",S285+N(T285)+N(U285)+N(V285)+N(W285))</f>
        <v/>
      </c>
      <c r="Y285" s="4"/>
      <c r="Z285" s="15"/>
      <c r="AA285" s="14"/>
      <c r="AB285" s="19"/>
      <c r="AC285" s="4"/>
      <c r="AD285" s="15"/>
      <c r="AE285" s="14"/>
      <c r="AF285" s="14"/>
      <c r="AG285" s="14"/>
      <c r="AH285" s="18" t="str">
        <f aca="false">IF(AND(AC285="Sold",AE285&lt;&gt;"",AF285&lt;&gt;""),AE285-AF285,"")</f>
        <v/>
      </c>
      <c r="AI285" s="18" t="str">
        <f aca="false">IF(AND(AC285="Sold",AF285&lt;&gt;"",X285&lt;&gt;""),AF285-N(AG285)-X285,"")</f>
        <v/>
      </c>
      <c r="AJ285" s="20" t="str">
        <f aca="false">IF(AND(AI285&lt;&gt;"",N(AE285)&gt;0),AI285/AE285,"")</f>
        <v/>
      </c>
      <c r="AK285" s="20" t="str">
        <f aca="false">IF(AND(AI285&lt;&gt;"",N(X285)&gt;0),AI285/X285,"")</f>
        <v/>
      </c>
      <c r="AL285" s="21" t="str">
        <f aca="false">IF(AND(AC285="Sold",AD285&lt;&gt;"",Z285&lt;&gt;""),AD285-Z285,"")</f>
        <v/>
      </c>
      <c r="AM285" s="20" t="str">
        <f aca="false">IF(AND(AC285="Sold",N(AA285)&gt;0,AE285&lt;&gt;""),1-AE285/AA285,"")</f>
        <v/>
      </c>
      <c r="AN285" s="21" t="str">
        <f aca="true">IF(AND(AC285&lt;&gt;"Sold",AC285&lt;&gt;"",Z285&lt;&gt;""),TODAY()-Z285,"")</f>
        <v/>
      </c>
      <c r="AO285" s="4"/>
      <c r="AP285" s="4"/>
    </row>
    <row r="286" customFormat="false" ht="1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14"/>
      <c r="O286" s="15"/>
      <c r="P286" s="16"/>
      <c r="Q286" s="4"/>
      <c r="R286" s="17"/>
      <c r="S286" s="18" t="str">
        <f aca="false">IF(OR(P286="",R286=""),"",P286*R286)</f>
        <v/>
      </c>
      <c r="T286" s="14"/>
      <c r="U286" s="14"/>
      <c r="V286" s="14"/>
      <c r="W286" s="14"/>
      <c r="X286" s="18" t="str">
        <f aca="false">IF(S286="","",S286+N(T286)+N(U286)+N(V286)+N(W286))</f>
        <v/>
      </c>
      <c r="Y286" s="4"/>
      <c r="Z286" s="15"/>
      <c r="AA286" s="14"/>
      <c r="AB286" s="19"/>
      <c r="AC286" s="4"/>
      <c r="AD286" s="15"/>
      <c r="AE286" s="14"/>
      <c r="AF286" s="14"/>
      <c r="AG286" s="14"/>
      <c r="AH286" s="18" t="str">
        <f aca="false">IF(AND(AC286="Sold",AE286&lt;&gt;"",AF286&lt;&gt;""),AE286-AF286,"")</f>
        <v/>
      </c>
      <c r="AI286" s="18" t="str">
        <f aca="false">IF(AND(AC286="Sold",AF286&lt;&gt;"",X286&lt;&gt;""),AF286-N(AG286)-X286,"")</f>
        <v/>
      </c>
      <c r="AJ286" s="20" t="str">
        <f aca="false">IF(AND(AI286&lt;&gt;"",N(AE286)&gt;0),AI286/AE286,"")</f>
        <v/>
      </c>
      <c r="AK286" s="20" t="str">
        <f aca="false">IF(AND(AI286&lt;&gt;"",N(X286)&gt;0),AI286/X286,"")</f>
        <v/>
      </c>
      <c r="AL286" s="21" t="str">
        <f aca="false">IF(AND(AC286="Sold",AD286&lt;&gt;"",Z286&lt;&gt;""),AD286-Z286,"")</f>
        <v/>
      </c>
      <c r="AM286" s="20" t="str">
        <f aca="false">IF(AND(AC286="Sold",N(AA286)&gt;0,AE286&lt;&gt;""),1-AE286/AA286,"")</f>
        <v/>
      </c>
      <c r="AN286" s="21" t="str">
        <f aca="true">IF(AND(AC286&lt;&gt;"Sold",AC286&lt;&gt;"",Z286&lt;&gt;""),TODAY()-Z286,"")</f>
        <v/>
      </c>
      <c r="AO286" s="4"/>
      <c r="AP286" s="4"/>
    </row>
    <row r="287" customFormat="false" ht="1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14"/>
      <c r="O287" s="15"/>
      <c r="P287" s="16"/>
      <c r="Q287" s="4"/>
      <c r="R287" s="17"/>
      <c r="S287" s="18" t="str">
        <f aca="false">IF(OR(P287="",R287=""),"",P287*R287)</f>
        <v/>
      </c>
      <c r="T287" s="14"/>
      <c r="U287" s="14"/>
      <c r="V287" s="14"/>
      <c r="W287" s="14"/>
      <c r="X287" s="18" t="str">
        <f aca="false">IF(S287="","",S287+N(T287)+N(U287)+N(V287)+N(W287))</f>
        <v/>
      </c>
      <c r="Y287" s="4"/>
      <c r="Z287" s="15"/>
      <c r="AA287" s="14"/>
      <c r="AB287" s="19"/>
      <c r="AC287" s="4"/>
      <c r="AD287" s="15"/>
      <c r="AE287" s="14"/>
      <c r="AF287" s="14"/>
      <c r="AG287" s="14"/>
      <c r="AH287" s="18" t="str">
        <f aca="false">IF(AND(AC287="Sold",AE287&lt;&gt;"",AF287&lt;&gt;""),AE287-AF287,"")</f>
        <v/>
      </c>
      <c r="AI287" s="18" t="str">
        <f aca="false">IF(AND(AC287="Sold",AF287&lt;&gt;"",X287&lt;&gt;""),AF287-N(AG287)-X287,"")</f>
        <v/>
      </c>
      <c r="AJ287" s="20" t="str">
        <f aca="false">IF(AND(AI287&lt;&gt;"",N(AE287)&gt;0),AI287/AE287,"")</f>
        <v/>
      </c>
      <c r="AK287" s="20" t="str">
        <f aca="false">IF(AND(AI287&lt;&gt;"",N(X287)&gt;0),AI287/X287,"")</f>
        <v/>
      </c>
      <c r="AL287" s="21" t="str">
        <f aca="false">IF(AND(AC287="Sold",AD287&lt;&gt;"",Z287&lt;&gt;""),AD287-Z287,"")</f>
        <v/>
      </c>
      <c r="AM287" s="20" t="str">
        <f aca="false">IF(AND(AC287="Sold",N(AA287)&gt;0,AE287&lt;&gt;""),1-AE287/AA287,"")</f>
        <v/>
      </c>
      <c r="AN287" s="21" t="str">
        <f aca="true">IF(AND(AC287&lt;&gt;"Sold",AC287&lt;&gt;"",Z287&lt;&gt;""),TODAY()-Z287,"")</f>
        <v/>
      </c>
      <c r="AO287" s="4"/>
      <c r="AP287" s="4"/>
    </row>
    <row r="288" customFormat="false" ht="1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14"/>
      <c r="O288" s="15"/>
      <c r="P288" s="16"/>
      <c r="Q288" s="4"/>
      <c r="R288" s="17"/>
      <c r="S288" s="18" t="str">
        <f aca="false">IF(OR(P288="",R288=""),"",P288*R288)</f>
        <v/>
      </c>
      <c r="T288" s="14"/>
      <c r="U288" s="14"/>
      <c r="V288" s="14"/>
      <c r="W288" s="14"/>
      <c r="X288" s="18" t="str">
        <f aca="false">IF(S288="","",S288+N(T288)+N(U288)+N(V288)+N(W288))</f>
        <v/>
      </c>
      <c r="Y288" s="4"/>
      <c r="Z288" s="15"/>
      <c r="AA288" s="14"/>
      <c r="AB288" s="19"/>
      <c r="AC288" s="4"/>
      <c r="AD288" s="15"/>
      <c r="AE288" s="14"/>
      <c r="AF288" s="14"/>
      <c r="AG288" s="14"/>
      <c r="AH288" s="18" t="str">
        <f aca="false">IF(AND(AC288="Sold",AE288&lt;&gt;"",AF288&lt;&gt;""),AE288-AF288,"")</f>
        <v/>
      </c>
      <c r="AI288" s="18" t="str">
        <f aca="false">IF(AND(AC288="Sold",AF288&lt;&gt;"",X288&lt;&gt;""),AF288-N(AG288)-X288,"")</f>
        <v/>
      </c>
      <c r="AJ288" s="20" t="str">
        <f aca="false">IF(AND(AI288&lt;&gt;"",N(AE288)&gt;0),AI288/AE288,"")</f>
        <v/>
      </c>
      <c r="AK288" s="20" t="str">
        <f aca="false">IF(AND(AI288&lt;&gt;"",N(X288)&gt;0),AI288/X288,"")</f>
        <v/>
      </c>
      <c r="AL288" s="21" t="str">
        <f aca="false">IF(AND(AC288="Sold",AD288&lt;&gt;"",Z288&lt;&gt;""),AD288-Z288,"")</f>
        <v/>
      </c>
      <c r="AM288" s="20" t="str">
        <f aca="false">IF(AND(AC288="Sold",N(AA288)&gt;0,AE288&lt;&gt;""),1-AE288/AA288,"")</f>
        <v/>
      </c>
      <c r="AN288" s="21" t="str">
        <f aca="true">IF(AND(AC288&lt;&gt;"Sold",AC288&lt;&gt;"",Z288&lt;&gt;""),TODAY()-Z288,"")</f>
        <v/>
      </c>
      <c r="AO288" s="4"/>
      <c r="AP288" s="4"/>
    </row>
    <row r="289" customFormat="false" ht="1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14"/>
      <c r="O289" s="15"/>
      <c r="P289" s="16"/>
      <c r="Q289" s="4"/>
      <c r="R289" s="17"/>
      <c r="S289" s="18" t="str">
        <f aca="false">IF(OR(P289="",R289=""),"",P289*R289)</f>
        <v/>
      </c>
      <c r="T289" s="14"/>
      <c r="U289" s="14"/>
      <c r="V289" s="14"/>
      <c r="W289" s="14"/>
      <c r="X289" s="18" t="str">
        <f aca="false">IF(S289="","",S289+N(T289)+N(U289)+N(V289)+N(W289))</f>
        <v/>
      </c>
      <c r="Y289" s="4"/>
      <c r="Z289" s="15"/>
      <c r="AA289" s="14"/>
      <c r="AB289" s="19"/>
      <c r="AC289" s="4"/>
      <c r="AD289" s="15"/>
      <c r="AE289" s="14"/>
      <c r="AF289" s="14"/>
      <c r="AG289" s="14"/>
      <c r="AH289" s="18" t="str">
        <f aca="false">IF(AND(AC289="Sold",AE289&lt;&gt;"",AF289&lt;&gt;""),AE289-AF289,"")</f>
        <v/>
      </c>
      <c r="AI289" s="18" t="str">
        <f aca="false">IF(AND(AC289="Sold",AF289&lt;&gt;"",X289&lt;&gt;""),AF289-N(AG289)-X289,"")</f>
        <v/>
      </c>
      <c r="AJ289" s="20" t="str">
        <f aca="false">IF(AND(AI289&lt;&gt;"",N(AE289)&gt;0),AI289/AE289,"")</f>
        <v/>
      </c>
      <c r="AK289" s="20" t="str">
        <f aca="false">IF(AND(AI289&lt;&gt;"",N(X289)&gt;0),AI289/X289,"")</f>
        <v/>
      </c>
      <c r="AL289" s="21" t="str">
        <f aca="false">IF(AND(AC289="Sold",AD289&lt;&gt;"",Z289&lt;&gt;""),AD289-Z289,"")</f>
        <v/>
      </c>
      <c r="AM289" s="20" t="str">
        <f aca="false">IF(AND(AC289="Sold",N(AA289)&gt;0,AE289&lt;&gt;""),1-AE289/AA289,"")</f>
        <v/>
      </c>
      <c r="AN289" s="21" t="str">
        <f aca="true">IF(AND(AC289&lt;&gt;"Sold",AC289&lt;&gt;"",Z289&lt;&gt;""),TODAY()-Z289,"")</f>
        <v/>
      </c>
      <c r="AO289" s="4"/>
      <c r="AP289" s="4"/>
    </row>
    <row r="290" customFormat="false" ht="1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14"/>
      <c r="O290" s="15"/>
      <c r="P290" s="16"/>
      <c r="Q290" s="4"/>
      <c r="R290" s="17"/>
      <c r="S290" s="18" t="str">
        <f aca="false">IF(OR(P290="",R290=""),"",P290*R290)</f>
        <v/>
      </c>
      <c r="T290" s="14"/>
      <c r="U290" s="14"/>
      <c r="V290" s="14"/>
      <c r="W290" s="14"/>
      <c r="X290" s="18" t="str">
        <f aca="false">IF(S290="","",S290+N(T290)+N(U290)+N(V290)+N(W290))</f>
        <v/>
      </c>
      <c r="Y290" s="4"/>
      <c r="Z290" s="15"/>
      <c r="AA290" s="14"/>
      <c r="AB290" s="19"/>
      <c r="AC290" s="4"/>
      <c r="AD290" s="15"/>
      <c r="AE290" s="14"/>
      <c r="AF290" s="14"/>
      <c r="AG290" s="14"/>
      <c r="AH290" s="18" t="str">
        <f aca="false">IF(AND(AC290="Sold",AE290&lt;&gt;"",AF290&lt;&gt;""),AE290-AF290,"")</f>
        <v/>
      </c>
      <c r="AI290" s="18" t="str">
        <f aca="false">IF(AND(AC290="Sold",AF290&lt;&gt;"",X290&lt;&gt;""),AF290-N(AG290)-X290,"")</f>
        <v/>
      </c>
      <c r="AJ290" s="20" t="str">
        <f aca="false">IF(AND(AI290&lt;&gt;"",N(AE290)&gt;0),AI290/AE290,"")</f>
        <v/>
      </c>
      <c r="AK290" s="20" t="str">
        <f aca="false">IF(AND(AI290&lt;&gt;"",N(X290)&gt;0),AI290/X290,"")</f>
        <v/>
      </c>
      <c r="AL290" s="21" t="str">
        <f aca="false">IF(AND(AC290="Sold",AD290&lt;&gt;"",Z290&lt;&gt;""),AD290-Z290,"")</f>
        <v/>
      </c>
      <c r="AM290" s="20" t="str">
        <f aca="false">IF(AND(AC290="Sold",N(AA290)&gt;0,AE290&lt;&gt;""),1-AE290/AA290,"")</f>
        <v/>
      </c>
      <c r="AN290" s="21" t="str">
        <f aca="true">IF(AND(AC290&lt;&gt;"Sold",AC290&lt;&gt;"",Z290&lt;&gt;""),TODAY()-Z290,"")</f>
        <v/>
      </c>
      <c r="AO290" s="4"/>
      <c r="AP290" s="4"/>
    </row>
    <row r="291" customFormat="false" ht="1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14"/>
      <c r="O291" s="15"/>
      <c r="P291" s="16"/>
      <c r="Q291" s="4"/>
      <c r="R291" s="17"/>
      <c r="S291" s="18" t="str">
        <f aca="false">IF(OR(P291="",R291=""),"",P291*R291)</f>
        <v/>
      </c>
      <c r="T291" s="14"/>
      <c r="U291" s="14"/>
      <c r="V291" s="14"/>
      <c r="W291" s="14"/>
      <c r="X291" s="18" t="str">
        <f aca="false">IF(S291="","",S291+N(T291)+N(U291)+N(V291)+N(W291))</f>
        <v/>
      </c>
      <c r="Y291" s="4"/>
      <c r="Z291" s="15"/>
      <c r="AA291" s="14"/>
      <c r="AB291" s="19"/>
      <c r="AC291" s="4"/>
      <c r="AD291" s="15"/>
      <c r="AE291" s="14"/>
      <c r="AF291" s="14"/>
      <c r="AG291" s="14"/>
      <c r="AH291" s="18" t="str">
        <f aca="false">IF(AND(AC291="Sold",AE291&lt;&gt;"",AF291&lt;&gt;""),AE291-AF291,"")</f>
        <v/>
      </c>
      <c r="AI291" s="18" t="str">
        <f aca="false">IF(AND(AC291="Sold",AF291&lt;&gt;"",X291&lt;&gt;""),AF291-N(AG291)-X291,"")</f>
        <v/>
      </c>
      <c r="AJ291" s="20" t="str">
        <f aca="false">IF(AND(AI291&lt;&gt;"",N(AE291)&gt;0),AI291/AE291,"")</f>
        <v/>
      </c>
      <c r="AK291" s="20" t="str">
        <f aca="false">IF(AND(AI291&lt;&gt;"",N(X291)&gt;0),AI291/X291,"")</f>
        <v/>
      </c>
      <c r="AL291" s="21" t="str">
        <f aca="false">IF(AND(AC291="Sold",AD291&lt;&gt;"",Z291&lt;&gt;""),AD291-Z291,"")</f>
        <v/>
      </c>
      <c r="AM291" s="20" t="str">
        <f aca="false">IF(AND(AC291="Sold",N(AA291)&gt;0,AE291&lt;&gt;""),1-AE291/AA291,"")</f>
        <v/>
      </c>
      <c r="AN291" s="21" t="str">
        <f aca="true">IF(AND(AC291&lt;&gt;"Sold",AC291&lt;&gt;"",Z291&lt;&gt;""),TODAY()-Z291,"")</f>
        <v/>
      </c>
      <c r="AO291" s="4"/>
      <c r="AP291" s="4"/>
    </row>
    <row r="292" customFormat="false" ht="1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14"/>
      <c r="O292" s="15"/>
      <c r="P292" s="16"/>
      <c r="Q292" s="4"/>
      <c r="R292" s="17"/>
      <c r="S292" s="18" t="str">
        <f aca="false">IF(OR(P292="",R292=""),"",P292*R292)</f>
        <v/>
      </c>
      <c r="T292" s="14"/>
      <c r="U292" s="14"/>
      <c r="V292" s="14"/>
      <c r="W292" s="14"/>
      <c r="X292" s="18" t="str">
        <f aca="false">IF(S292="","",S292+N(T292)+N(U292)+N(V292)+N(W292))</f>
        <v/>
      </c>
      <c r="Y292" s="4"/>
      <c r="Z292" s="15"/>
      <c r="AA292" s="14"/>
      <c r="AB292" s="19"/>
      <c r="AC292" s="4"/>
      <c r="AD292" s="15"/>
      <c r="AE292" s="14"/>
      <c r="AF292" s="14"/>
      <c r="AG292" s="14"/>
      <c r="AH292" s="18" t="str">
        <f aca="false">IF(AND(AC292="Sold",AE292&lt;&gt;"",AF292&lt;&gt;""),AE292-AF292,"")</f>
        <v/>
      </c>
      <c r="AI292" s="18" t="str">
        <f aca="false">IF(AND(AC292="Sold",AF292&lt;&gt;"",X292&lt;&gt;""),AF292-N(AG292)-X292,"")</f>
        <v/>
      </c>
      <c r="AJ292" s="20" t="str">
        <f aca="false">IF(AND(AI292&lt;&gt;"",N(AE292)&gt;0),AI292/AE292,"")</f>
        <v/>
      </c>
      <c r="AK292" s="20" t="str">
        <f aca="false">IF(AND(AI292&lt;&gt;"",N(X292)&gt;0),AI292/X292,"")</f>
        <v/>
      </c>
      <c r="AL292" s="21" t="str">
        <f aca="false">IF(AND(AC292="Sold",AD292&lt;&gt;"",Z292&lt;&gt;""),AD292-Z292,"")</f>
        <v/>
      </c>
      <c r="AM292" s="20" t="str">
        <f aca="false">IF(AND(AC292="Sold",N(AA292)&gt;0,AE292&lt;&gt;""),1-AE292/AA292,"")</f>
        <v/>
      </c>
      <c r="AN292" s="21" t="str">
        <f aca="true">IF(AND(AC292&lt;&gt;"Sold",AC292&lt;&gt;"",Z292&lt;&gt;""),TODAY()-Z292,"")</f>
        <v/>
      </c>
      <c r="AO292" s="4"/>
      <c r="AP292" s="4"/>
    </row>
    <row r="293" customFormat="false" ht="1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14"/>
      <c r="O293" s="15"/>
      <c r="P293" s="16"/>
      <c r="Q293" s="4"/>
      <c r="R293" s="17"/>
      <c r="S293" s="18" t="str">
        <f aca="false">IF(OR(P293="",R293=""),"",P293*R293)</f>
        <v/>
      </c>
      <c r="T293" s="14"/>
      <c r="U293" s="14"/>
      <c r="V293" s="14"/>
      <c r="W293" s="14"/>
      <c r="X293" s="18" t="str">
        <f aca="false">IF(S293="","",S293+N(T293)+N(U293)+N(V293)+N(W293))</f>
        <v/>
      </c>
      <c r="Y293" s="4"/>
      <c r="Z293" s="15"/>
      <c r="AA293" s="14"/>
      <c r="AB293" s="19"/>
      <c r="AC293" s="4"/>
      <c r="AD293" s="15"/>
      <c r="AE293" s="14"/>
      <c r="AF293" s="14"/>
      <c r="AG293" s="14"/>
      <c r="AH293" s="18" t="str">
        <f aca="false">IF(AND(AC293="Sold",AE293&lt;&gt;"",AF293&lt;&gt;""),AE293-AF293,"")</f>
        <v/>
      </c>
      <c r="AI293" s="18" t="str">
        <f aca="false">IF(AND(AC293="Sold",AF293&lt;&gt;"",X293&lt;&gt;""),AF293-N(AG293)-X293,"")</f>
        <v/>
      </c>
      <c r="AJ293" s="20" t="str">
        <f aca="false">IF(AND(AI293&lt;&gt;"",N(AE293)&gt;0),AI293/AE293,"")</f>
        <v/>
      </c>
      <c r="AK293" s="20" t="str">
        <f aca="false">IF(AND(AI293&lt;&gt;"",N(X293)&gt;0),AI293/X293,"")</f>
        <v/>
      </c>
      <c r="AL293" s="21" t="str">
        <f aca="false">IF(AND(AC293="Sold",AD293&lt;&gt;"",Z293&lt;&gt;""),AD293-Z293,"")</f>
        <v/>
      </c>
      <c r="AM293" s="20" t="str">
        <f aca="false">IF(AND(AC293="Sold",N(AA293)&gt;0,AE293&lt;&gt;""),1-AE293/AA293,"")</f>
        <v/>
      </c>
      <c r="AN293" s="21" t="str">
        <f aca="true">IF(AND(AC293&lt;&gt;"Sold",AC293&lt;&gt;"",Z293&lt;&gt;""),TODAY()-Z293,"")</f>
        <v/>
      </c>
      <c r="AO293" s="4"/>
      <c r="AP293" s="4"/>
    </row>
    <row r="294" customFormat="false" ht="1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14"/>
      <c r="O294" s="15"/>
      <c r="P294" s="16"/>
      <c r="Q294" s="4"/>
      <c r="R294" s="17"/>
      <c r="S294" s="18" t="str">
        <f aca="false">IF(OR(P294="",R294=""),"",P294*R294)</f>
        <v/>
      </c>
      <c r="T294" s="14"/>
      <c r="U294" s="14"/>
      <c r="V294" s="14"/>
      <c r="W294" s="14"/>
      <c r="X294" s="18" t="str">
        <f aca="false">IF(S294="","",S294+N(T294)+N(U294)+N(V294)+N(W294))</f>
        <v/>
      </c>
      <c r="Y294" s="4"/>
      <c r="Z294" s="15"/>
      <c r="AA294" s="14"/>
      <c r="AB294" s="19"/>
      <c r="AC294" s="4"/>
      <c r="AD294" s="15"/>
      <c r="AE294" s="14"/>
      <c r="AF294" s="14"/>
      <c r="AG294" s="14"/>
      <c r="AH294" s="18" t="str">
        <f aca="false">IF(AND(AC294="Sold",AE294&lt;&gt;"",AF294&lt;&gt;""),AE294-AF294,"")</f>
        <v/>
      </c>
      <c r="AI294" s="18" t="str">
        <f aca="false">IF(AND(AC294="Sold",AF294&lt;&gt;"",X294&lt;&gt;""),AF294-N(AG294)-X294,"")</f>
        <v/>
      </c>
      <c r="AJ294" s="20" t="str">
        <f aca="false">IF(AND(AI294&lt;&gt;"",N(AE294)&gt;0),AI294/AE294,"")</f>
        <v/>
      </c>
      <c r="AK294" s="20" t="str">
        <f aca="false">IF(AND(AI294&lt;&gt;"",N(X294)&gt;0),AI294/X294,"")</f>
        <v/>
      </c>
      <c r="AL294" s="21" t="str">
        <f aca="false">IF(AND(AC294="Sold",AD294&lt;&gt;"",Z294&lt;&gt;""),AD294-Z294,"")</f>
        <v/>
      </c>
      <c r="AM294" s="20" t="str">
        <f aca="false">IF(AND(AC294="Sold",N(AA294)&gt;0,AE294&lt;&gt;""),1-AE294/AA294,"")</f>
        <v/>
      </c>
      <c r="AN294" s="21" t="str">
        <f aca="true">IF(AND(AC294&lt;&gt;"Sold",AC294&lt;&gt;"",Z294&lt;&gt;""),TODAY()-Z294,"")</f>
        <v/>
      </c>
      <c r="AO294" s="4"/>
      <c r="AP294" s="4"/>
    </row>
    <row r="295" customFormat="false" ht="1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14"/>
      <c r="O295" s="15"/>
      <c r="P295" s="16"/>
      <c r="Q295" s="4"/>
      <c r="R295" s="17"/>
      <c r="S295" s="18" t="str">
        <f aca="false">IF(OR(P295="",R295=""),"",P295*R295)</f>
        <v/>
      </c>
      <c r="T295" s="14"/>
      <c r="U295" s="14"/>
      <c r="V295" s="14"/>
      <c r="W295" s="14"/>
      <c r="X295" s="18" t="str">
        <f aca="false">IF(S295="","",S295+N(T295)+N(U295)+N(V295)+N(W295))</f>
        <v/>
      </c>
      <c r="Y295" s="4"/>
      <c r="Z295" s="15"/>
      <c r="AA295" s="14"/>
      <c r="AB295" s="19"/>
      <c r="AC295" s="4"/>
      <c r="AD295" s="15"/>
      <c r="AE295" s="14"/>
      <c r="AF295" s="14"/>
      <c r="AG295" s="14"/>
      <c r="AH295" s="18" t="str">
        <f aca="false">IF(AND(AC295="Sold",AE295&lt;&gt;"",AF295&lt;&gt;""),AE295-AF295,"")</f>
        <v/>
      </c>
      <c r="AI295" s="18" t="str">
        <f aca="false">IF(AND(AC295="Sold",AF295&lt;&gt;"",X295&lt;&gt;""),AF295-N(AG295)-X295,"")</f>
        <v/>
      </c>
      <c r="AJ295" s="20" t="str">
        <f aca="false">IF(AND(AI295&lt;&gt;"",N(AE295)&gt;0),AI295/AE295,"")</f>
        <v/>
      </c>
      <c r="AK295" s="20" t="str">
        <f aca="false">IF(AND(AI295&lt;&gt;"",N(X295)&gt;0),AI295/X295,"")</f>
        <v/>
      </c>
      <c r="AL295" s="21" t="str">
        <f aca="false">IF(AND(AC295="Sold",AD295&lt;&gt;"",Z295&lt;&gt;""),AD295-Z295,"")</f>
        <v/>
      </c>
      <c r="AM295" s="20" t="str">
        <f aca="false">IF(AND(AC295="Sold",N(AA295)&gt;0,AE295&lt;&gt;""),1-AE295/AA295,"")</f>
        <v/>
      </c>
      <c r="AN295" s="21" t="str">
        <f aca="true">IF(AND(AC295&lt;&gt;"Sold",AC295&lt;&gt;"",Z295&lt;&gt;""),TODAY()-Z295,"")</f>
        <v/>
      </c>
      <c r="AO295" s="4"/>
      <c r="AP295" s="4"/>
    </row>
    <row r="296" customFormat="false" ht="1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14"/>
      <c r="O296" s="15"/>
      <c r="P296" s="16"/>
      <c r="Q296" s="4"/>
      <c r="R296" s="17"/>
      <c r="S296" s="18" t="str">
        <f aca="false">IF(OR(P296="",R296=""),"",P296*R296)</f>
        <v/>
      </c>
      <c r="T296" s="14"/>
      <c r="U296" s="14"/>
      <c r="V296" s="14"/>
      <c r="W296" s="14"/>
      <c r="X296" s="18" t="str">
        <f aca="false">IF(S296="","",S296+N(T296)+N(U296)+N(V296)+N(W296))</f>
        <v/>
      </c>
      <c r="Y296" s="4"/>
      <c r="Z296" s="15"/>
      <c r="AA296" s="14"/>
      <c r="AB296" s="19"/>
      <c r="AC296" s="4"/>
      <c r="AD296" s="15"/>
      <c r="AE296" s="14"/>
      <c r="AF296" s="14"/>
      <c r="AG296" s="14"/>
      <c r="AH296" s="18" t="str">
        <f aca="false">IF(AND(AC296="Sold",AE296&lt;&gt;"",AF296&lt;&gt;""),AE296-AF296,"")</f>
        <v/>
      </c>
      <c r="AI296" s="18" t="str">
        <f aca="false">IF(AND(AC296="Sold",AF296&lt;&gt;"",X296&lt;&gt;""),AF296-N(AG296)-X296,"")</f>
        <v/>
      </c>
      <c r="AJ296" s="20" t="str">
        <f aca="false">IF(AND(AI296&lt;&gt;"",N(AE296)&gt;0),AI296/AE296,"")</f>
        <v/>
      </c>
      <c r="AK296" s="20" t="str">
        <f aca="false">IF(AND(AI296&lt;&gt;"",N(X296)&gt;0),AI296/X296,"")</f>
        <v/>
      </c>
      <c r="AL296" s="21" t="str">
        <f aca="false">IF(AND(AC296="Sold",AD296&lt;&gt;"",Z296&lt;&gt;""),AD296-Z296,"")</f>
        <v/>
      </c>
      <c r="AM296" s="20" t="str">
        <f aca="false">IF(AND(AC296="Sold",N(AA296)&gt;0,AE296&lt;&gt;""),1-AE296/AA296,"")</f>
        <v/>
      </c>
      <c r="AN296" s="21" t="str">
        <f aca="true">IF(AND(AC296&lt;&gt;"Sold",AC296&lt;&gt;"",Z296&lt;&gt;""),TODAY()-Z296,"")</f>
        <v/>
      </c>
      <c r="AO296" s="4"/>
      <c r="AP296" s="4"/>
    </row>
    <row r="297" customFormat="false" ht="1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14"/>
      <c r="O297" s="15"/>
      <c r="P297" s="16"/>
      <c r="Q297" s="4"/>
      <c r="R297" s="17"/>
      <c r="S297" s="18" t="str">
        <f aca="false">IF(OR(P297="",R297=""),"",P297*R297)</f>
        <v/>
      </c>
      <c r="T297" s="14"/>
      <c r="U297" s="14"/>
      <c r="V297" s="14"/>
      <c r="W297" s="14"/>
      <c r="X297" s="18" t="str">
        <f aca="false">IF(S297="","",S297+N(T297)+N(U297)+N(V297)+N(W297))</f>
        <v/>
      </c>
      <c r="Y297" s="4"/>
      <c r="Z297" s="15"/>
      <c r="AA297" s="14"/>
      <c r="AB297" s="19"/>
      <c r="AC297" s="4"/>
      <c r="AD297" s="15"/>
      <c r="AE297" s="14"/>
      <c r="AF297" s="14"/>
      <c r="AG297" s="14"/>
      <c r="AH297" s="18" t="str">
        <f aca="false">IF(AND(AC297="Sold",AE297&lt;&gt;"",AF297&lt;&gt;""),AE297-AF297,"")</f>
        <v/>
      </c>
      <c r="AI297" s="18" t="str">
        <f aca="false">IF(AND(AC297="Sold",AF297&lt;&gt;"",X297&lt;&gt;""),AF297-N(AG297)-X297,"")</f>
        <v/>
      </c>
      <c r="AJ297" s="20" t="str">
        <f aca="false">IF(AND(AI297&lt;&gt;"",N(AE297)&gt;0),AI297/AE297,"")</f>
        <v/>
      </c>
      <c r="AK297" s="20" t="str">
        <f aca="false">IF(AND(AI297&lt;&gt;"",N(X297)&gt;0),AI297/X297,"")</f>
        <v/>
      </c>
      <c r="AL297" s="21" t="str">
        <f aca="false">IF(AND(AC297="Sold",AD297&lt;&gt;"",Z297&lt;&gt;""),AD297-Z297,"")</f>
        <v/>
      </c>
      <c r="AM297" s="20" t="str">
        <f aca="false">IF(AND(AC297="Sold",N(AA297)&gt;0,AE297&lt;&gt;""),1-AE297/AA297,"")</f>
        <v/>
      </c>
      <c r="AN297" s="21" t="str">
        <f aca="true">IF(AND(AC297&lt;&gt;"Sold",AC297&lt;&gt;"",Z297&lt;&gt;""),TODAY()-Z297,"")</f>
        <v/>
      </c>
      <c r="AO297" s="4"/>
      <c r="AP297" s="4"/>
    </row>
    <row r="298" customFormat="false" ht="1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14"/>
      <c r="O298" s="15"/>
      <c r="P298" s="16"/>
      <c r="Q298" s="4"/>
      <c r="R298" s="17"/>
      <c r="S298" s="18" t="str">
        <f aca="false">IF(OR(P298="",R298=""),"",P298*R298)</f>
        <v/>
      </c>
      <c r="T298" s="14"/>
      <c r="U298" s="14"/>
      <c r="V298" s="14"/>
      <c r="W298" s="14"/>
      <c r="X298" s="18" t="str">
        <f aca="false">IF(S298="","",S298+N(T298)+N(U298)+N(V298)+N(W298))</f>
        <v/>
      </c>
      <c r="Y298" s="4"/>
      <c r="Z298" s="15"/>
      <c r="AA298" s="14"/>
      <c r="AB298" s="19"/>
      <c r="AC298" s="4"/>
      <c r="AD298" s="15"/>
      <c r="AE298" s="14"/>
      <c r="AF298" s="14"/>
      <c r="AG298" s="14"/>
      <c r="AH298" s="18" t="str">
        <f aca="false">IF(AND(AC298="Sold",AE298&lt;&gt;"",AF298&lt;&gt;""),AE298-AF298,"")</f>
        <v/>
      </c>
      <c r="AI298" s="18" t="str">
        <f aca="false">IF(AND(AC298="Sold",AF298&lt;&gt;"",X298&lt;&gt;""),AF298-N(AG298)-X298,"")</f>
        <v/>
      </c>
      <c r="AJ298" s="20" t="str">
        <f aca="false">IF(AND(AI298&lt;&gt;"",N(AE298)&gt;0),AI298/AE298,"")</f>
        <v/>
      </c>
      <c r="AK298" s="20" t="str">
        <f aca="false">IF(AND(AI298&lt;&gt;"",N(X298)&gt;0),AI298/X298,"")</f>
        <v/>
      </c>
      <c r="AL298" s="21" t="str">
        <f aca="false">IF(AND(AC298="Sold",AD298&lt;&gt;"",Z298&lt;&gt;""),AD298-Z298,"")</f>
        <v/>
      </c>
      <c r="AM298" s="20" t="str">
        <f aca="false">IF(AND(AC298="Sold",N(AA298)&gt;0,AE298&lt;&gt;""),1-AE298/AA298,"")</f>
        <v/>
      </c>
      <c r="AN298" s="21" t="str">
        <f aca="true">IF(AND(AC298&lt;&gt;"Sold",AC298&lt;&gt;"",Z298&lt;&gt;""),TODAY()-Z298,"")</f>
        <v/>
      </c>
      <c r="AO298" s="4"/>
      <c r="AP298" s="4"/>
    </row>
    <row r="299" customFormat="false" ht="1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14"/>
      <c r="O299" s="15"/>
      <c r="P299" s="16"/>
      <c r="Q299" s="4"/>
      <c r="R299" s="17"/>
      <c r="S299" s="18" t="str">
        <f aca="false">IF(OR(P299="",R299=""),"",P299*R299)</f>
        <v/>
      </c>
      <c r="T299" s="14"/>
      <c r="U299" s="14"/>
      <c r="V299" s="14"/>
      <c r="W299" s="14"/>
      <c r="X299" s="18" t="str">
        <f aca="false">IF(S299="","",S299+N(T299)+N(U299)+N(V299)+N(W299))</f>
        <v/>
      </c>
      <c r="Y299" s="4"/>
      <c r="Z299" s="15"/>
      <c r="AA299" s="14"/>
      <c r="AB299" s="19"/>
      <c r="AC299" s="4"/>
      <c r="AD299" s="15"/>
      <c r="AE299" s="14"/>
      <c r="AF299" s="14"/>
      <c r="AG299" s="14"/>
      <c r="AH299" s="18" t="str">
        <f aca="false">IF(AND(AC299="Sold",AE299&lt;&gt;"",AF299&lt;&gt;""),AE299-AF299,"")</f>
        <v/>
      </c>
      <c r="AI299" s="18" t="str">
        <f aca="false">IF(AND(AC299="Sold",AF299&lt;&gt;"",X299&lt;&gt;""),AF299-N(AG299)-X299,"")</f>
        <v/>
      </c>
      <c r="AJ299" s="20" t="str">
        <f aca="false">IF(AND(AI299&lt;&gt;"",N(AE299)&gt;0),AI299/AE299,"")</f>
        <v/>
      </c>
      <c r="AK299" s="20" t="str">
        <f aca="false">IF(AND(AI299&lt;&gt;"",N(X299)&gt;0),AI299/X299,"")</f>
        <v/>
      </c>
      <c r="AL299" s="21" t="str">
        <f aca="false">IF(AND(AC299="Sold",AD299&lt;&gt;"",Z299&lt;&gt;""),AD299-Z299,"")</f>
        <v/>
      </c>
      <c r="AM299" s="20" t="str">
        <f aca="false">IF(AND(AC299="Sold",N(AA299)&gt;0,AE299&lt;&gt;""),1-AE299/AA299,"")</f>
        <v/>
      </c>
      <c r="AN299" s="21" t="str">
        <f aca="true">IF(AND(AC299&lt;&gt;"Sold",AC299&lt;&gt;"",Z299&lt;&gt;""),TODAY()-Z299,"")</f>
        <v/>
      </c>
      <c r="AO299" s="4"/>
      <c r="AP299" s="4"/>
    </row>
    <row r="300" customFormat="false" ht="1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14"/>
      <c r="O300" s="15"/>
      <c r="P300" s="16"/>
      <c r="Q300" s="4"/>
      <c r="R300" s="17"/>
      <c r="S300" s="18" t="str">
        <f aca="false">IF(OR(P300="",R300=""),"",P300*R300)</f>
        <v/>
      </c>
      <c r="T300" s="14"/>
      <c r="U300" s="14"/>
      <c r="V300" s="14"/>
      <c r="W300" s="14"/>
      <c r="X300" s="18" t="str">
        <f aca="false">IF(S300="","",S300+N(T300)+N(U300)+N(V300)+N(W300))</f>
        <v/>
      </c>
      <c r="Y300" s="4"/>
      <c r="Z300" s="15"/>
      <c r="AA300" s="14"/>
      <c r="AB300" s="19"/>
      <c r="AC300" s="4"/>
      <c r="AD300" s="15"/>
      <c r="AE300" s="14"/>
      <c r="AF300" s="14"/>
      <c r="AG300" s="14"/>
      <c r="AH300" s="18" t="str">
        <f aca="false">IF(AND(AC300="Sold",AE300&lt;&gt;"",AF300&lt;&gt;""),AE300-AF300,"")</f>
        <v/>
      </c>
      <c r="AI300" s="18" t="str">
        <f aca="false">IF(AND(AC300="Sold",AF300&lt;&gt;"",X300&lt;&gt;""),AF300-N(AG300)-X300,"")</f>
        <v/>
      </c>
      <c r="AJ300" s="20" t="str">
        <f aca="false">IF(AND(AI300&lt;&gt;"",N(AE300)&gt;0),AI300/AE300,"")</f>
        <v/>
      </c>
      <c r="AK300" s="20" t="str">
        <f aca="false">IF(AND(AI300&lt;&gt;"",N(X300)&gt;0),AI300/X300,"")</f>
        <v/>
      </c>
      <c r="AL300" s="21" t="str">
        <f aca="false">IF(AND(AC300="Sold",AD300&lt;&gt;"",Z300&lt;&gt;""),AD300-Z300,"")</f>
        <v/>
      </c>
      <c r="AM300" s="20" t="str">
        <f aca="false">IF(AND(AC300="Sold",N(AA300)&gt;0,AE300&lt;&gt;""),1-AE300/AA300,"")</f>
        <v/>
      </c>
      <c r="AN300" s="21" t="str">
        <f aca="true">IF(AND(AC300&lt;&gt;"Sold",AC300&lt;&gt;"",Z300&lt;&gt;""),TODAY()-Z300,"")</f>
        <v/>
      </c>
      <c r="AO300" s="4"/>
      <c r="AP300" s="4"/>
    </row>
    <row r="301" customFormat="false" ht="1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14"/>
      <c r="O301" s="15"/>
      <c r="P301" s="16"/>
      <c r="Q301" s="4"/>
      <c r="R301" s="17"/>
      <c r="S301" s="18" t="str">
        <f aca="false">IF(OR(P301="",R301=""),"",P301*R301)</f>
        <v/>
      </c>
      <c r="T301" s="14"/>
      <c r="U301" s="14"/>
      <c r="V301" s="14"/>
      <c r="W301" s="14"/>
      <c r="X301" s="18" t="str">
        <f aca="false">IF(S301="","",S301+N(T301)+N(U301)+N(V301)+N(W301))</f>
        <v/>
      </c>
      <c r="Y301" s="4"/>
      <c r="Z301" s="15"/>
      <c r="AA301" s="14"/>
      <c r="AB301" s="19"/>
      <c r="AC301" s="4"/>
      <c r="AD301" s="15"/>
      <c r="AE301" s="14"/>
      <c r="AF301" s="14"/>
      <c r="AG301" s="14"/>
      <c r="AH301" s="18" t="str">
        <f aca="false">IF(AND(AC301="Sold",AE301&lt;&gt;"",AF301&lt;&gt;""),AE301-AF301,"")</f>
        <v/>
      </c>
      <c r="AI301" s="18" t="str">
        <f aca="false">IF(AND(AC301="Sold",AF301&lt;&gt;"",X301&lt;&gt;""),AF301-N(AG301)-X301,"")</f>
        <v/>
      </c>
      <c r="AJ301" s="20" t="str">
        <f aca="false">IF(AND(AI301&lt;&gt;"",N(AE301)&gt;0),AI301/AE301,"")</f>
        <v/>
      </c>
      <c r="AK301" s="20" t="str">
        <f aca="false">IF(AND(AI301&lt;&gt;"",N(X301)&gt;0),AI301/X301,"")</f>
        <v/>
      </c>
      <c r="AL301" s="21" t="str">
        <f aca="false">IF(AND(AC301="Sold",AD301&lt;&gt;"",Z301&lt;&gt;""),AD301-Z301,"")</f>
        <v/>
      </c>
      <c r="AM301" s="20" t="str">
        <f aca="false">IF(AND(AC301="Sold",N(AA301)&gt;0,AE301&lt;&gt;""),1-AE301/AA301,"")</f>
        <v/>
      </c>
      <c r="AN301" s="21" t="str">
        <f aca="true">IF(AND(AC301&lt;&gt;"Sold",AC301&lt;&gt;"",Z301&lt;&gt;""),TODAY()-Z301,"")</f>
        <v/>
      </c>
      <c r="AO301" s="4"/>
      <c r="AP301" s="4"/>
    </row>
    <row r="302" customFormat="false" ht="1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14"/>
      <c r="O302" s="15"/>
      <c r="P302" s="16"/>
      <c r="Q302" s="4"/>
      <c r="R302" s="17"/>
      <c r="S302" s="18" t="str">
        <f aca="false">IF(OR(P302="",R302=""),"",P302*R302)</f>
        <v/>
      </c>
      <c r="T302" s="14"/>
      <c r="U302" s="14"/>
      <c r="V302" s="14"/>
      <c r="W302" s="14"/>
      <c r="X302" s="18" t="str">
        <f aca="false">IF(S302="","",S302+N(T302)+N(U302)+N(V302)+N(W302))</f>
        <v/>
      </c>
      <c r="Y302" s="4"/>
      <c r="Z302" s="15"/>
      <c r="AA302" s="14"/>
      <c r="AB302" s="19"/>
      <c r="AC302" s="4"/>
      <c r="AD302" s="15"/>
      <c r="AE302" s="14"/>
      <c r="AF302" s="14"/>
      <c r="AG302" s="14"/>
      <c r="AH302" s="18" t="str">
        <f aca="false">IF(AND(AC302="Sold",AE302&lt;&gt;"",AF302&lt;&gt;""),AE302-AF302,"")</f>
        <v/>
      </c>
      <c r="AI302" s="18" t="str">
        <f aca="false">IF(AND(AC302="Sold",AF302&lt;&gt;"",X302&lt;&gt;""),AF302-N(AG302)-X302,"")</f>
        <v/>
      </c>
      <c r="AJ302" s="20" t="str">
        <f aca="false">IF(AND(AI302&lt;&gt;"",N(AE302)&gt;0),AI302/AE302,"")</f>
        <v/>
      </c>
      <c r="AK302" s="20" t="str">
        <f aca="false">IF(AND(AI302&lt;&gt;"",N(X302)&gt;0),AI302/X302,"")</f>
        <v/>
      </c>
      <c r="AL302" s="21" t="str">
        <f aca="false">IF(AND(AC302="Sold",AD302&lt;&gt;"",Z302&lt;&gt;""),AD302-Z302,"")</f>
        <v/>
      </c>
      <c r="AM302" s="20" t="str">
        <f aca="false">IF(AND(AC302="Sold",N(AA302)&gt;0,AE302&lt;&gt;""),1-AE302/AA302,"")</f>
        <v/>
      </c>
      <c r="AN302" s="21" t="str">
        <f aca="true">IF(AND(AC302&lt;&gt;"Sold",AC302&lt;&gt;"",Z302&lt;&gt;""),TODAY()-Z302,"")</f>
        <v/>
      </c>
      <c r="AO302" s="4"/>
      <c r="AP302" s="4"/>
    </row>
    <row r="303" customFormat="false" ht="1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14"/>
      <c r="O303" s="15"/>
      <c r="P303" s="16"/>
      <c r="Q303" s="4"/>
      <c r="R303" s="17"/>
      <c r="S303" s="18" t="str">
        <f aca="false">IF(OR(P303="",R303=""),"",P303*R303)</f>
        <v/>
      </c>
      <c r="T303" s="14"/>
      <c r="U303" s="14"/>
      <c r="V303" s="14"/>
      <c r="W303" s="14"/>
      <c r="X303" s="18" t="str">
        <f aca="false">IF(S303="","",S303+N(T303)+N(U303)+N(V303)+N(W303))</f>
        <v/>
      </c>
      <c r="Y303" s="4"/>
      <c r="Z303" s="15"/>
      <c r="AA303" s="14"/>
      <c r="AB303" s="19"/>
      <c r="AC303" s="4"/>
      <c r="AD303" s="15"/>
      <c r="AE303" s="14"/>
      <c r="AF303" s="14"/>
      <c r="AG303" s="14"/>
      <c r="AH303" s="18" t="str">
        <f aca="false">IF(AND(AC303="Sold",AE303&lt;&gt;"",AF303&lt;&gt;""),AE303-AF303,"")</f>
        <v/>
      </c>
      <c r="AI303" s="18" t="str">
        <f aca="false">IF(AND(AC303="Sold",AF303&lt;&gt;"",X303&lt;&gt;""),AF303-N(AG303)-X303,"")</f>
        <v/>
      </c>
      <c r="AJ303" s="20" t="str">
        <f aca="false">IF(AND(AI303&lt;&gt;"",N(AE303)&gt;0),AI303/AE303,"")</f>
        <v/>
      </c>
      <c r="AK303" s="20" t="str">
        <f aca="false">IF(AND(AI303&lt;&gt;"",N(X303)&gt;0),AI303/X303,"")</f>
        <v/>
      </c>
      <c r="AL303" s="21" t="str">
        <f aca="false">IF(AND(AC303="Sold",AD303&lt;&gt;"",Z303&lt;&gt;""),AD303-Z303,"")</f>
        <v/>
      </c>
      <c r="AM303" s="20" t="str">
        <f aca="false">IF(AND(AC303="Sold",N(AA303)&gt;0,AE303&lt;&gt;""),1-AE303/AA303,"")</f>
        <v/>
      </c>
      <c r="AN303" s="21" t="str">
        <f aca="true">IF(AND(AC303&lt;&gt;"Sold",AC303&lt;&gt;"",Z303&lt;&gt;""),TODAY()-Z303,"")</f>
        <v/>
      </c>
      <c r="AO303" s="4"/>
      <c r="AP303" s="4"/>
    </row>
    <row r="304" customFormat="false" ht="1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14"/>
      <c r="O304" s="15"/>
      <c r="P304" s="16"/>
      <c r="Q304" s="4"/>
      <c r="R304" s="17"/>
      <c r="S304" s="18" t="str">
        <f aca="false">IF(OR(P304="",R304=""),"",P304*R304)</f>
        <v/>
      </c>
      <c r="T304" s="14"/>
      <c r="U304" s="14"/>
      <c r="V304" s="14"/>
      <c r="W304" s="14"/>
      <c r="X304" s="18" t="str">
        <f aca="false">IF(S304="","",S304+N(T304)+N(U304)+N(V304)+N(W304))</f>
        <v/>
      </c>
      <c r="Y304" s="4"/>
      <c r="Z304" s="15"/>
      <c r="AA304" s="14"/>
      <c r="AB304" s="19"/>
      <c r="AC304" s="4"/>
      <c r="AD304" s="15"/>
      <c r="AE304" s="14"/>
      <c r="AF304" s="14"/>
      <c r="AG304" s="14"/>
      <c r="AH304" s="18" t="str">
        <f aca="false">IF(AND(AC304="Sold",AE304&lt;&gt;"",AF304&lt;&gt;""),AE304-AF304,"")</f>
        <v/>
      </c>
      <c r="AI304" s="18" t="str">
        <f aca="false">IF(AND(AC304="Sold",AF304&lt;&gt;"",X304&lt;&gt;""),AF304-N(AG304)-X304,"")</f>
        <v/>
      </c>
      <c r="AJ304" s="20" t="str">
        <f aca="false">IF(AND(AI304&lt;&gt;"",N(AE304)&gt;0),AI304/AE304,"")</f>
        <v/>
      </c>
      <c r="AK304" s="20" t="str">
        <f aca="false">IF(AND(AI304&lt;&gt;"",N(X304)&gt;0),AI304/X304,"")</f>
        <v/>
      </c>
      <c r="AL304" s="21" t="str">
        <f aca="false">IF(AND(AC304="Sold",AD304&lt;&gt;"",Z304&lt;&gt;""),AD304-Z304,"")</f>
        <v/>
      </c>
      <c r="AM304" s="20" t="str">
        <f aca="false">IF(AND(AC304="Sold",N(AA304)&gt;0,AE304&lt;&gt;""),1-AE304/AA304,"")</f>
        <v/>
      </c>
      <c r="AN304" s="21" t="str">
        <f aca="true">IF(AND(AC304&lt;&gt;"Sold",AC304&lt;&gt;"",Z304&lt;&gt;""),TODAY()-Z304,"")</f>
        <v/>
      </c>
      <c r="AO304" s="4"/>
      <c r="AP304" s="4"/>
    </row>
    <row r="305" customFormat="false" ht="1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14"/>
      <c r="O305" s="15"/>
      <c r="P305" s="16"/>
      <c r="Q305" s="4"/>
      <c r="R305" s="17"/>
      <c r="S305" s="18" t="str">
        <f aca="false">IF(OR(P305="",R305=""),"",P305*R305)</f>
        <v/>
      </c>
      <c r="T305" s="14"/>
      <c r="U305" s="14"/>
      <c r="V305" s="14"/>
      <c r="W305" s="14"/>
      <c r="X305" s="18" t="str">
        <f aca="false">IF(S305="","",S305+N(T305)+N(U305)+N(V305)+N(W305))</f>
        <v/>
      </c>
      <c r="Y305" s="4"/>
      <c r="Z305" s="15"/>
      <c r="AA305" s="14"/>
      <c r="AB305" s="19"/>
      <c r="AC305" s="4"/>
      <c r="AD305" s="15"/>
      <c r="AE305" s="14"/>
      <c r="AF305" s="14"/>
      <c r="AG305" s="14"/>
      <c r="AH305" s="18" t="str">
        <f aca="false">IF(AND(AC305="Sold",AE305&lt;&gt;"",AF305&lt;&gt;""),AE305-AF305,"")</f>
        <v/>
      </c>
      <c r="AI305" s="18" t="str">
        <f aca="false">IF(AND(AC305="Sold",AF305&lt;&gt;"",X305&lt;&gt;""),AF305-N(AG305)-X305,"")</f>
        <v/>
      </c>
      <c r="AJ305" s="20" t="str">
        <f aca="false">IF(AND(AI305&lt;&gt;"",N(AE305)&gt;0),AI305/AE305,"")</f>
        <v/>
      </c>
      <c r="AK305" s="20" t="str">
        <f aca="false">IF(AND(AI305&lt;&gt;"",N(X305)&gt;0),AI305/X305,"")</f>
        <v/>
      </c>
      <c r="AL305" s="21" t="str">
        <f aca="false">IF(AND(AC305="Sold",AD305&lt;&gt;"",Z305&lt;&gt;""),AD305-Z305,"")</f>
        <v/>
      </c>
      <c r="AM305" s="20" t="str">
        <f aca="false">IF(AND(AC305="Sold",N(AA305)&gt;0,AE305&lt;&gt;""),1-AE305/AA305,"")</f>
        <v/>
      </c>
      <c r="AN305" s="21" t="str">
        <f aca="true">IF(AND(AC305&lt;&gt;"Sold",AC305&lt;&gt;"",Z305&lt;&gt;""),TODAY()-Z305,"")</f>
        <v/>
      </c>
      <c r="AO305" s="4"/>
      <c r="AP305" s="4"/>
    </row>
    <row r="306" customFormat="false" ht="1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14"/>
      <c r="O306" s="15"/>
      <c r="P306" s="16"/>
      <c r="Q306" s="4"/>
      <c r="R306" s="17"/>
      <c r="S306" s="18" t="str">
        <f aca="false">IF(OR(P306="",R306=""),"",P306*R306)</f>
        <v/>
      </c>
      <c r="T306" s="14"/>
      <c r="U306" s="14"/>
      <c r="V306" s="14"/>
      <c r="W306" s="14"/>
      <c r="X306" s="18" t="str">
        <f aca="false">IF(S306="","",S306+N(T306)+N(U306)+N(V306)+N(W306))</f>
        <v/>
      </c>
      <c r="Y306" s="4"/>
      <c r="Z306" s="15"/>
      <c r="AA306" s="14"/>
      <c r="AB306" s="19"/>
      <c r="AC306" s="4"/>
      <c r="AD306" s="15"/>
      <c r="AE306" s="14"/>
      <c r="AF306" s="14"/>
      <c r="AG306" s="14"/>
      <c r="AH306" s="18" t="str">
        <f aca="false">IF(AND(AC306="Sold",AE306&lt;&gt;"",AF306&lt;&gt;""),AE306-AF306,"")</f>
        <v/>
      </c>
      <c r="AI306" s="18" t="str">
        <f aca="false">IF(AND(AC306="Sold",AF306&lt;&gt;"",X306&lt;&gt;""),AF306-N(AG306)-X306,"")</f>
        <v/>
      </c>
      <c r="AJ306" s="20" t="str">
        <f aca="false">IF(AND(AI306&lt;&gt;"",N(AE306)&gt;0),AI306/AE306,"")</f>
        <v/>
      </c>
      <c r="AK306" s="20" t="str">
        <f aca="false">IF(AND(AI306&lt;&gt;"",N(X306)&gt;0),AI306/X306,"")</f>
        <v/>
      </c>
      <c r="AL306" s="21" t="str">
        <f aca="false">IF(AND(AC306="Sold",AD306&lt;&gt;"",Z306&lt;&gt;""),AD306-Z306,"")</f>
        <v/>
      </c>
      <c r="AM306" s="20" t="str">
        <f aca="false">IF(AND(AC306="Sold",N(AA306)&gt;0,AE306&lt;&gt;""),1-AE306/AA306,"")</f>
        <v/>
      </c>
      <c r="AN306" s="21" t="str">
        <f aca="true">IF(AND(AC306&lt;&gt;"Sold",AC306&lt;&gt;"",Z306&lt;&gt;""),TODAY()-Z306,"")</f>
        <v/>
      </c>
      <c r="AO306" s="4"/>
      <c r="AP306" s="4"/>
    </row>
    <row r="307" customFormat="false" ht="1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14"/>
      <c r="O307" s="15"/>
      <c r="P307" s="16"/>
      <c r="Q307" s="4"/>
      <c r="R307" s="17"/>
      <c r="S307" s="18" t="str">
        <f aca="false">IF(OR(P307="",R307=""),"",P307*R307)</f>
        <v/>
      </c>
      <c r="T307" s="14"/>
      <c r="U307" s="14"/>
      <c r="V307" s="14"/>
      <c r="W307" s="14"/>
      <c r="X307" s="18" t="str">
        <f aca="false">IF(S307="","",S307+N(T307)+N(U307)+N(V307)+N(W307))</f>
        <v/>
      </c>
      <c r="Y307" s="4"/>
      <c r="Z307" s="15"/>
      <c r="AA307" s="14"/>
      <c r="AB307" s="19"/>
      <c r="AC307" s="4"/>
      <c r="AD307" s="15"/>
      <c r="AE307" s="14"/>
      <c r="AF307" s="14"/>
      <c r="AG307" s="14"/>
      <c r="AH307" s="18" t="str">
        <f aca="false">IF(AND(AC307="Sold",AE307&lt;&gt;"",AF307&lt;&gt;""),AE307-AF307,"")</f>
        <v/>
      </c>
      <c r="AI307" s="18" t="str">
        <f aca="false">IF(AND(AC307="Sold",AF307&lt;&gt;"",X307&lt;&gt;""),AF307-N(AG307)-X307,"")</f>
        <v/>
      </c>
      <c r="AJ307" s="20" t="str">
        <f aca="false">IF(AND(AI307&lt;&gt;"",N(AE307)&gt;0),AI307/AE307,"")</f>
        <v/>
      </c>
      <c r="AK307" s="20" t="str">
        <f aca="false">IF(AND(AI307&lt;&gt;"",N(X307)&gt;0),AI307/X307,"")</f>
        <v/>
      </c>
      <c r="AL307" s="21" t="str">
        <f aca="false">IF(AND(AC307="Sold",AD307&lt;&gt;"",Z307&lt;&gt;""),AD307-Z307,"")</f>
        <v/>
      </c>
      <c r="AM307" s="20" t="str">
        <f aca="false">IF(AND(AC307="Sold",N(AA307)&gt;0,AE307&lt;&gt;""),1-AE307/AA307,"")</f>
        <v/>
      </c>
      <c r="AN307" s="21" t="str">
        <f aca="true">IF(AND(AC307&lt;&gt;"Sold",AC307&lt;&gt;"",Z307&lt;&gt;""),TODAY()-Z307,"")</f>
        <v/>
      </c>
      <c r="AO307" s="4"/>
      <c r="AP307" s="4"/>
    </row>
    <row r="308" customFormat="false" ht="1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14"/>
      <c r="O308" s="15"/>
      <c r="P308" s="16"/>
      <c r="Q308" s="4"/>
      <c r="R308" s="17"/>
      <c r="S308" s="18" t="str">
        <f aca="false">IF(OR(P308="",R308=""),"",P308*R308)</f>
        <v/>
      </c>
      <c r="T308" s="14"/>
      <c r="U308" s="14"/>
      <c r="V308" s="14"/>
      <c r="W308" s="14"/>
      <c r="X308" s="18" t="str">
        <f aca="false">IF(S308="","",S308+N(T308)+N(U308)+N(V308)+N(W308))</f>
        <v/>
      </c>
      <c r="Y308" s="4"/>
      <c r="Z308" s="15"/>
      <c r="AA308" s="14"/>
      <c r="AB308" s="19"/>
      <c r="AC308" s="4"/>
      <c r="AD308" s="15"/>
      <c r="AE308" s="14"/>
      <c r="AF308" s="14"/>
      <c r="AG308" s="14"/>
      <c r="AH308" s="18" t="str">
        <f aca="false">IF(AND(AC308="Sold",AE308&lt;&gt;"",AF308&lt;&gt;""),AE308-AF308,"")</f>
        <v/>
      </c>
      <c r="AI308" s="18" t="str">
        <f aca="false">IF(AND(AC308="Sold",AF308&lt;&gt;"",X308&lt;&gt;""),AF308-N(AG308)-X308,"")</f>
        <v/>
      </c>
      <c r="AJ308" s="20" t="str">
        <f aca="false">IF(AND(AI308&lt;&gt;"",N(AE308)&gt;0),AI308/AE308,"")</f>
        <v/>
      </c>
      <c r="AK308" s="20" t="str">
        <f aca="false">IF(AND(AI308&lt;&gt;"",N(X308)&gt;0),AI308/X308,"")</f>
        <v/>
      </c>
      <c r="AL308" s="21" t="str">
        <f aca="false">IF(AND(AC308="Sold",AD308&lt;&gt;"",Z308&lt;&gt;""),AD308-Z308,"")</f>
        <v/>
      </c>
      <c r="AM308" s="20" t="str">
        <f aca="false">IF(AND(AC308="Sold",N(AA308)&gt;0,AE308&lt;&gt;""),1-AE308/AA308,"")</f>
        <v/>
      </c>
      <c r="AN308" s="21" t="str">
        <f aca="true">IF(AND(AC308&lt;&gt;"Sold",AC308&lt;&gt;"",Z308&lt;&gt;""),TODAY()-Z308,"")</f>
        <v/>
      </c>
      <c r="AO308" s="4"/>
      <c r="AP308" s="4"/>
    </row>
    <row r="309" customFormat="false" ht="1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14"/>
      <c r="O309" s="15"/>
      <c r="P309" s="16"/>
      <c r="Q309" s="4"/>
      <c r="R309" s="17"/>
      <c r="S309" s="18" t="str">
        <f aca="false">IF(OR(P309="",R309=""),"",P309*R309)</f>
        <v/>
      </c>
      <c r="T309" s="14"/>
      <c r="U309" s="14"/>
      <c r="V309" s="14"/>
      <c r="W309" s="14"/>
      <c r="X309" s="18" t="str">
        <f aca="false">IF(S309="","",S309+N(T309)+N(U309)+N(V309)+N(W309))</f>
        <v/>
      </c>
      <c r="Y309" s="4"/>
      <c r="Z309" s="15"/>
      <c r="AA309" s="14"/>
      <c r="AB309" s="19"/>
      <c r="AC309" s="4"/>
      <c r="AD309" s="15"/>
      <c r="AE309" s="14"/>
      <c r="AF309" s="14"/>
      <c r="AG309" s="14"/>
      <c r="AH309" s="18" t="str">
        <f aca="false">IF(AND(AC309="Sold",AE309&lt;&gt;"",AF309&lt;&gt;""),AE309-AF309,"")</f>
        <v/>
      </c>
      <c r="AI309" s="18" t="str">
        <f aca="false">IF(AND(AC309="Sold",AF309&lt;&gt;"",X309&lt;&gt;""),AF309-N(AG309)-X309,"")</f>
        <v/>
      </c>
      <c r="AJ309" s="20" t="str">
        <f aca="false">IF(AND(AI309&lt;&gt;"",N(AE309)&gt;0),AI309/AE309,"")</f>
        <v/>
      </c>
      <c r="AK309" s="20" t="str">
        <f aca="false">IF(AND(AI309&lt;&gt;"",N(X309)&gt;0),AI309/X309,"")</f>
        <v/>
      </c>
      <c r="AL309" s="21" t="str">
        <f aca="false">IF(AND(AC309="Sold",AD309&lt;&gt;"",Z309&lt;&gt;""),AD309-Z309,"")</f>
        <v/>
      </c>
      <c r="AM309" s="20" t="str">
        <f aca="false">IF(AND(AC309="Sold",N(AA309)&gt;0,AE309&lt;&gt;""),1-AE309/AA309,"")</f>
        <v/>
      </c>
      <c r="AN309" s="21" t="str">
        <f aca="true">IF(AND(AC309&lt;&gt;"Sold",AC309&lt;&gt;"",Z309&lt;&gt;""),TODAY()-Z309,"")</f>
        <v/>
      </c>
      <c r="AO309" s="4"/>
      <c r="AP309" s="4"/>
    </row>
    <row r="310" customFormat="false" ht="1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14"/>
      <c r="O310" s="15"/>
      <c r="P310" s="16"/>
      <c r="Q310" s="4"/>
      <c r="R310" s="17"/>
      <c r="S310" s="18" t="str">
        <f aca="false">IF(OR(P310="",R310=""),"",P310*R310)</f>
        <v/>
      </c>
      <c r="T310" s="14"/>
      <c r="U310" s="14"/>
      <c r="V310" s="14"/>
      <c r="W310" s="14"/>
      <c r="X310" s="18" t="str">
        <f aca="false">IF(S310="","",S310+N(T310)+N(U310)+N(V310)+N(W310))</f>
        <v/>
      </c>
      <c r="Y310" s="4"/>
      <c r="Z310" s="15"/>
      <c r="AA310" s="14"/>
      <c r="AB310" s="19"/>
      <c r="AC310" s="4"/>
      <c r="AD310" s="15"/>
      <c r="AE310" s="14"/>
      <c r="AF310" s="14"/>
      <c r="AG310" s="14"/>
      <c r="AH310" s="18" t="str">
        <f aca="false">IF(AND(AC310="Sold",AE310&lt;&gt;"",AF310&lt;&gt;""),AE310-AF310,"")</f>
        <v/>
      </c>
      <c r="AI310" s="18" t="str">
        <f aca="false">IF(AND(AC310="Sold",AF310&lt;&gt;"",X310&lt;&gt;""),AF310-N(AG310)-X310,"")</f>
        <v/>
      </c>
      <c r="AJ310" s="20" t="str">
        <f aca="false">IF(AND(AI310&lt;&gt;"",N(AE310)&gt;0),AI310/AE310,"")</f>
        <v/>
      </c>
      <c r="AK310" s="20" t="str">
        <f aca="false">IF(AND(AI310&lt;&gt;"",N(X310)&gt;0),AI310/X310,"")</f>
        <v/>
      </c>
      <c r="AL310" s="21" t="str">
        <f aca="false">IF(AND(AC310="Sold",AD310&lt;&gt;"",Z310&lt;&gt;""),AD310-Z310,"")</f>
        <v/>
      </c>
      <c r="AM310" s="20" t="str">
        <f aca="false">IF(AND(AC310="Sold",N(AA310)&gt;0,AE310&lt;&gt;""),1-AE310/AA310,"")</f>
        <v/>
      </c>
      <c r="AN310" s="21" t="str">
        <f aca="true">IF(AND(AC310&lt;&gt;"Sold",AC310&lt;&gt;"",Z310&lt;&gt;""),TODAY()-Z310,"")</f>
        <v/>
      </c>
      <c r="AO310" s="4"/>
      <c r="AP310" s="4"/>
    </row>
    <row r="311" customFormat="false" ht="1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14"/>
      <c r="O311" s="15"/>
      <c r="P311" s="16"/>
      <c r="Q311" s="4"/>
      <c r="R311" s="17"/>
      <c r="S311" s="18" t="str">
        <f aca="false">IF(OR(P311="",R311=""),"",P311*R311)</f>
        <v/>
      </c>
      <c r="T311" s="14"/>
      <c r="U311" s="14"/>
      <c r="V311" s="14"/>
      <c r="W311" s="14"/>
      <c r="X311" s="18" t="str">
        <f aca="false">IF(S311="","",S311+N(T311)+N(U311)+N(V311)+N(W311))</f>
        <v/>
      </c>
      <c r="Y311" s="4"/>
      <c r="Z311" s="15"/>
      <c r="AA311" s="14"/>
      <c r="AB311" s="19"/>
      <c r="AC311" s="4"/>
      <c r="AD311" s="15"/>
      <c r="AE311" s="14"/>
      <c r="AF311" s="14"/>
      <c r="AG311" s="14"/>
      <c r="AH311" s="18" t="str">
        <f aca="false">IF(AND(AC311="Sold",AE311&lt;&gt;"",AF311&lt;&gt;""),AE311-AF311,"")</f>
        <v/>
      </c>
      <c r="AI311" s="18" t="str">
        <f aca="false">IF(AND(AC311="Sold",AF311&lt;&gt;"",X311&lt;&gt;""),AF311-N(AG311)-X311,"")</f>
        <v/>
      </c>
      <c r="AJ311" s="20" t="str">
        <f aca="false">IF(AND(AI311&lt;&gt;"",N(AE311)&gt;0),AI311/AE311,"")</f>
        <v/>
      </c>
      <c r="AK311" s="20" t="str">
        <f aca="false">IF(AND(AI311&lt;&gt;"",N(X311)&gt;0),AI311/X311,"")</f>
        <v/>
      </c>
      <c r="AL311" s="21" t="str">
        <f aca="false">IF(AND(AC311="Sold",AD311&lt;&gt;"",Z311&lt;&gt;""),AD311-Z311,"")</f>
        <v/>
      </c>
      <c r="AM311" s="20" t="str">
        <f aca="false">IF(AND(AC311="Sold",N(AA311)&gt;0,AE311&lt;&gt;""),1-AE311/AA311,"")</f>
        <v/>
      </c>
      <c r="AN311" s="21" t="str">
        <f aca="true">IF(AND(AC311&lt;&gt;"Sold",AC311&lt;&gt;"",Z311&lt;&gt;""),TODAY()-Z311,"")</f>
        <v/>
      </c>
      <c r="AO311" s="4"/>
      <c r="AP311" s="4"/>
    </row>
    <row r="312" customFormat="false" ht="1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14"/>
      <c r="O312" s="15"/>
      <c r="P312" s="16"/>
      <c r="Q312" s="4"/>
      <c r="R312" s="17"/>
      <c r="S312" s="18" t="str">
        <f aca="false">IF(OR(P312="",R312=""),"",P312*R312)</f>
        <v/>
      </c>
      <c r="T312" s="14"/>
      <c r="U312" s="14"/>
      <c r="V312" s="14"/>
      <c r="W312" s="14"/>
      <c r="X312" s="18" t="str">
        <f aca="false">IF(S312="","",S312+N(T312)+N(U312)+N(V312)+N(W312))</f>
        <v/>
      </c>
      <c r="Y312" s="4"/>
      <c r="Z312" s="15"/>
      <c r="AA312" s="14"/>
      <c r="AB312" s="19"/>
      <c r="AC312" s="4"/>
      <c r="AD312" s="15"/>
      <c r="AE312" s="14"/>
      <c r="AF312" s="14"/>
      <c r="AG312" s="14"/>
      <c r="AH312" s="18" t="str">
        <f aca="false">IF(AND(AC312="Sold",AE312&lt;&gt;"",AF312&lt;&gt;""),AE312-AF312,"")</f>
        <v/>
      </c>
      <c r="AI312" s="18" t="str">
        <f aca="false">IF(AND(AC312="Sold",AF312&lt;&gt;"",X312&lt;&gt;""),AF312-N(AG312)-X312,"")</f>
        <v/>
      </c>
      <c r="AJ312" s="20" t="str">
        <f aca="false">IF(AND(AI312&lt;&gt;"",N(AE312)&gt;0),AI312/AE312,"")</f>
        <v/>
      </c>
      <c r="AK312" s="20" t="str">
        <f aca="false">IF(AND(AI312&lt;&gt;"",N(X312)&gt;0),AI312/X312,"")</f>
        <v/>
      </c>
      <c r="AL312" s="21" t="str">
        <f aca="false">IF(AND(AC312="Sold",AD312&lt;&gt;"",Z312&lt;&gt;""),AD312-Z312,"")</f>
        <v/>
      </c>
      <c r="AM312" s="20" t="str">
        <f aca="false">IF(AND(AC312="Sold",N(AA312)&gt;0,AE312&lt;&gt;""),1-AE312/AA312,"")</f>
        <v/>
      </c>
      <c r="AN312" s="21" t="str">
        <f aca="true">IF(AND(AC312&lt;&gt;"Sold",AC312&lt;&gt;"",Z312&lt;&gt;""),TODAY()-Z312,"")</f>
        <v/>
      </c>
      <c r="AO312" s="4"/>
      <c r="AP312" s="4"/>
    </row>
    <row r="313" customFormat="false" ht="1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14"/>
      <c r="O313" s="15"/>
      <c r="P313" s="16"/>
      <c r="Q313" s="4"/>
      <c r="R313" s="17"/>
      <c r="S313" s="18" t="str">
        <f aca="false">IF(OR(P313="",R313=""),"",P313*R313)</f>
        <v/>
      </c>
      <c r="T313" s="14"/>
      <c r="U313" s="14"/>
      <c r="V313" s="14"/>
      <c r="W313" s="14"/>
      <c r="X313" s="18" t="str">
        <f aca="false">IF(S313="","",S313+N(T313)+N(U313)+N(V313)+N(W313))</f>
        <v/>
      </c>
      <c r="Y313" s="4"/>
      <c r="Z313" s="15"/>
      <c r="AA313" s="14"/>
      <c r="AB313" s="19"/>
      <c r="AC313" s="4"/>
      <c r="AD313" s="15"/>
      <c r="AE313" s="14"/>
      <c r="AF313" s="14"/>
      <c r="AG313" s="14"/>
      <c r="AH313" s="18" t="str">
        <f aca="false">IF(AND(AC313="Sold",AE313&lt;&gt;"",AF313&lt;&gt;""),AE313-AF313,"")</f>
        <v/>
      </c>
      <c r="AI313" s="18" t="str">
        <f aca="false">IF(AND(AC313="Sold",AF313&lt;&gt;"",X313&lt;&gt;""),AF313-N(AG313)-X313,"")</f>
        <v/>
      </c>
      <c r="AJ313" s="20" t="str">
        <f aca="false">IF(AND(AI313&lt;&gt;"",N(AE313)&gt;0),AI313/AE313,"")</f>
        <v/>
      </c>
      <c r="AK313" s="20" t="str">
        <f aca="false">IF(AND(AI313&lt;&gt;"",N(X313)&gt;0),AI313/X313,"")</f>
        <v/>
      </c>
      <c r="AL313" s="21" t="str">
        <f aca="false">IF(AND(AC313="Sold",AD313&lt;&gt;"",Z313&lt;&gt;""),AD313-Z313,"")</f>
        <v/>
      </c>
      <c r="AM313" s="20" t="str">
        <f aca="false">IF(AND(AC313="Sold",N(AA313)&gt;0,AE313&lt;&gt;""),1-AE313/AA313,"")</f>
        <v/>
      </c>
      <c r="AN313" s="21" t="str">
        <f aca="true">IF(AND(AC313&lt;&gt;"Sold",AC313&lt;&gt;"",Z313&lt;&gt;""),TODAY()-Z313,"")</f>
        <v/>
      </c>
      <c r="AO313" s="4"/>
      <c r="AP313" s="4"/>
    </row>
    <row r="314" customFormat="false" ht="1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14"/>
      <c r="O314" s="15"/>
      <c r="P314" s="16"/>
      <c r="Q314" s="4"/>
      <c r="R314" s="17"/>
      <c r="S314" s="18" t="str">
        <f aca="false">IF(OR(P314="",R314=""),"",P314*R314)</f>
        <v/>
      </c>
      <c r="T314" s="14"/>
      <c r="U314" s="14"/>
      <c r="V314" s="14"/>
      <c r="W314" s="14"/>
      <c r="X314" s="18" t="str">
        <f aca="false">IF(S314="","",S314+N(T314)+N(U314)+N(V314)+N(W314))</f>
        <v/>
      </c>
      <c r="Y314" s="4"/>
      <c r="Z314" s="15"/>
      <c r="AA314" s="14"/>
      <c r="AB314" s="19"/>
      <c r="AC314" s="4"/>
      <c r="AD314" s="15"/>
      <c r="AE314" s="14"/>
      <c r="AF314" s="14"/>
      <c r="AG314" s="14"/>
      <c r="AH314" s="18" t="str">
        <f aca="false">IF(AND(AC314="Sold",AE314&lt;&gt;"",AF314&lt;&gt;""),AE314-AF314,"")</f>
        <v/>
      </c>
      <c r="AI314" s="18" t="str">
        <f aca="false">IF(AND(AC314="Sold",AF314&lt;&gt;"",X314&lt;&gt;""),AF314-N(AG314)-X314,"")</f>
        <v/>
      </c>
      <c r="AJ314" s="20" t="str">
        <f aca="false">IF(AND(AI314&lt;&gt;"",N(AE314)&gt;0),AI314/AE314,"")</f>
        <v/>
      </c>
      <c r="AK314" s="20" t="str">
        <f aca="false">IF(AND(AI314&lt;&gt;"",N(X314)&gt;0),AI314/X314,"")</f>
        <v/>
      </c>
      <c r="AL314" s="21" t="str">
        <f aca="false">IF(AND(AC314="Sold",AD314&lt;&gt;"",Z314&lt;&gt;""),AD314-Z314,"")</f>
        <v/>
      </c>
      <c r="AM314" s="20" t="str">
        <f aca="false">IF(AND(AC314="Sold",N(AA314)&gt;0,AE314&lt;&gt;""),1-AE314/AA314,"")</f>
        <v/>
      </c>
      <c r="AN314" s="21" t="str">
        <f aca="true">IF(AND(AC314&lt;&gt;"Sold",AC314&lt;&gt;"",Z314&lt;&gt;""),TODAY()-Z314,"")</f>
        <v/>
      </c>
      <c r="AO314" s="4"/>
      <c r="AP314" s="4"/>
    </row>
    <row r="315" customFormat="false" ht="1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14"/>
      <c r="O315" s="15"/>
      <c r="P315" s="16"/>
      <c r="Q315" s="4"/>
      <c r="R315" s="17"/>
      <c r="S315" s="18" t="str">
        <f aca="false">IF(OR(P315="",R315=""),"",P315*R315)</f>
        <v/>
      </c>
      <c r="T315" s="14"/>
      <c r="U315" s="14"/>
      <c r="V315" s="14"/>
      <c r="W315" s="14"/>
      <c r="X315" s="18" t="str">
        <f aca="false">IF(S315="","",S315+N(T315)+N(U315)+N(V315)+N(W315))</f>
        <v/>
      </c>
      <c r="Y315" s="4"/>
      <c r="Z315" s="15"/>
      <c r="AA315" s="14"/>
      <c r="AB315" s="19"/>
      <c r="AC315" s="4"/>
      <c r="AD315" s="15"/>
      <c r="AE315" s="14"/>
      <c r="AF315" s="14"/>
      <c r="AG315" s="14"/>
      <c r="AH315" s="18" t="str">
        <f aca="false">IF(AND(AC315="Sold",AE315&lt;&gt;"",AF315&lt;&gt;""),AE315-AF315,"")</f>
        <v/>
      </c>
      <c r="AI315" s="18" t="str">
        <f aca="false">IF(AND(AC315="Sold",AF315&lt;&gt;"",X315&lt;&gt;""),AF315-N(AG315)-X315,"")</f>
        <v/>
      </c>
      <c r="AJ315" s="20" t="str">
        <f aca="false">IF(AND(AI315&lt;&gt;"",N(AE315)&gt;0),AI315/AE315,"")</f>
        <v/>
      </c>
      <c r="AK315" s="20" t="str">
        <f aca="false">IF(AND(AI315&lt;&gt;"",N(X315)&gt;0),AI315/X315,"")</f>
        <v/>
      </c>
      <c r="AL315" s="21" t="str">
        <f aca="false">IF(AND(AC315="Sold",AD315&lt;&gt;"",Z315&lt;&gt;""),AD315-Z315,"")</f>
        <v/>
      </c>
      <c r="AM315" s="20" t="str">
        <f aca="false">IF(AND(AC315="Sold",N(AA315)&gt;0,AE315&lt;&gt;""),1-AE315/AA315,"")</f>
        <v/>
      </c>
      <c r="AN315" s="21" t="str">
        <f aca="true">IF(AND(AC315&lt;&gt;"Sold",AC315&lt;&gt;"",Z315&lt;&gt;""),TODAY()-Z315,"")</f>
        <v/>
      </c>
      <c r="AO315" s="4"/>
      <c r="AP315" s="4"/>
    </row>
    <row r="316" customFormat="false" ht="1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14"/>
      <c r="O316" s="15"/>
      <c r="P316" s="16"/>
      <c r="Q316" s="4"/>
      <c r="R316" s="17"/>
      <c r="S316" s="18" t="str">
        <f aca="false">IF(OR(P316="",R316=""),"",P316*R316)</f>
        <v/>
      </c>
      <c r="T316" s="14"/>
      <c r="U316" s="14"/>
      <c r="V316" s="14"/>
      <c r="W316" s="14"/>
      <c r="X316" s="18" t="str">
        <f aca="false">IF(S316="","",S316+N(T316)+N(U316)+N(V316)+N(W316))</f>
        <v/>
      </c>
      <c r="Y316" s="4"/>
      <c r="Z316" s="15"/>
      <c r="AA316" s="14"/>
      <c r="AB316" s="19"/>
      <c r="AC316" s="4"/>
      <c r="AD316" s="15"/>
      <c r="AE316" s="14"/>
      <c r="AF316" s="14"/>
      <c r="AG316" s="14"/>
      <c r="AH316" s="18" t="str">
        <f aca="false">IF(AND(AC316="Sold",AE316&lt;&gt;"",AF316&lt;&gt;""),AE316-AF316,"")</f>
        <v/>
      </c>
      <c r="AI316" s="18" t="str">
        <f aca="false">IF(AND(AC316="Sold",AF316&lt;&gt;"",X316&lt;&gt;""),AF316-N(AG316)-X316,"")</f>
        <v/>
      </c>
      <c r="AJ316" s="20" t="str">
        <f aca="false">IF(AND(AI316&lt;&gt;"",N(AE316)&gt;0),AI316/AE316,"")</f>
        <v/>
      </c>
      <c r="AK316" s="20" t="str">
        <f aca="false">IF(AND(AI316&lt;&gt;"",N(X316)&gt;0),AI316/X316,"")</f>
        <v/>
      </c>
      <c r="AL316" s="21" t="str">
        <f aca="false">IF(AND(AC316="Sold",AD316&lt;&gt;"",Z316&lt;&gt;""),AD316-Z316,"")</f>
        <v/>
      </c>
      <c r="AM316" s="20" t="str">
        <f aca="false">IF(AND(AC316="Sold",N(AA316)&gt;0,AE316&lt;&gt;""),1-AE316/AA316,"")</f>
        <v/>
      </c>
      <c r="AN316" s="21" t="str">
        <f aca="true">IF(AND(AC316&lt;&gt;"Sold",AC316&lt;&gt;"",Z316&lt;&gt;""),TODAY()-Z316,"")</f>
        <v/>
      </c>
      <c r="AO316" s="4"/>
      <c r="AP316" s="4"/>
    </row>
    <row r="317" customFormat="false" ht="1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14"/>
      <c r="O317" s="15"/>
      <c r="P317" s="16"/>
      <c r="Q317" s="4"/>
      <c r="R317" s="17"/>
      <c r="S317" s="18" t="str">
        <f aca="false">IF(OR(P317="",R317=""),"",P317*R317)</f>
        <v/>
      </c>
      <c r="T317" s="14"/>
      <c r="U317" s="14"/>
      <c r="V317" s="14"/>
      <c r="W317" s="14"/>
      <c r="X317" s="18" t="str">
        <f aca="false">IF(S317="","",S317+N(T317)+N(U317)+N(V317)+N(W317))</f>
        <v/>
      </c>
      <c r="Y317" s="4"/>
      <c r="Z317" s="15"/>
      <c r="AA317" s="14"/>
      <c r="AB317" s="19"/>
      <c r="AC317" s="4"/>
      <c r="AD317" s="15"/>
      <c r="AE317" s="14"/>
      <c r="AF317" s="14"/>
      <c r="AG317" s="14"/>
      <c r="AH317" s="18" t="str">
        <f aca="false">IF(AND(AC317="Sold",AE317&lt;&gt;"",AF317&lt;&gt;""),AE317-AF317,"")</f>
        <v/>
      </c>
      <c r="AI317" s="18" t="str">
        <f aca="false">IF(AND(AC317="Sold",AF317&lt;&gt;"",X317&lt;&gt;""),AF317-N(AG317)-X317,"")</f>
        <v/>
      </c>
      <c r="AJ317" s="20" t="str">
        <f aca="false">IF(AND(AI317&lt;&gt;"",N(AE317)&gt;0),AI317/AE317,"")</f>
        <v/>
      </c>
      <c r="AK317" s="20" t="str">
        <f aca="false">IF(AND(AI317&lt;&gt;"",N(X317)&gt;0),AI317/X317,"")</f>
        <v/>
      </c>
      <c r="AL317" s="21" t="str">
        <f aca="false">IF(AND(AC317="Sold",AD317&lt;&gt;"",Z317&lt;&gt;""),AD317-Z317,"")</f>
        <v/>
      </c>
      <c r="AM317" s="20" t="str">
        <f aca="false">IF(AND(AC317="Sold",N(AA317)&gt;0,AE317&lt;&gt;""),1-AE317/AA317,"")</f>
        <v/>
      </c>
      <c r="AN317" s="21" t="str">
        <f aca="true">IF(AND(AC317&lt;&gt;"Sold",AC317&lt;&gt;"",Z317&lt;&gt;""),TODAY()-Z317,"")</f>
        <v/>
      </c>
      <c r="AO317" s="4"/>
      <c r="AP317" s="4"/>
    </row>
    <row r="318" customFormat="false" ht="1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14"/>
      <c r="O318" s="15"/>
      <c r="P318" s="16"/>
      <c r="Q318" s="4"/>
      <c r="R318" s="17"/>
      <c r="S318" s="18" t="str">
        <f aca="false">IF(OR(P318="",R318=""),"",P318*R318)</f>
        <v/>
      </c>
      <c r="T318" s="14"/>
      <c r="U318" s="14"/>
      <c r="V318" s="14"/>
      <c r="W318" s="14"/>
      <c r="X318" s="18" t="str">
        <f aca="false">IF(S318="","",S318+N(T318)+N(U318)+N(V318)+N(W318))</f>
        <v/>
      </c>
      <c r="Y318" s="4"/>
      <c r="Z318" s="15"/>
      <c r="AA318" s="14"/>
      <c r="AB318" s="19"/>
      <c r="AC318" s="4"/>
      <c r="AD318" s="15"/>
      <c r="AE318" s="14"/>
      <c r="AF318" s="14"/>
      <c r="AG318" s="14"/>
      <c r="AH318" s="18" t="str">
        <f aca="false">IF(AND(AC318="Sold",AE318&lt;&gt;"",AF318&lt;&gt;""),AE318-AF318,"")</f>
        <v/>
      </c>
      <c r="AI318" s="18" t="str">
        <f aca="false">IF(AND(AC318="Sold",AF318&lt;&gt;"",X318&lt;&gt;""),AF318-N(AG318)-X318,"")</f>
        <v/>
      </c>
      <c r="AJ318" s="20" t="str">
        <f aca="false">IF(AND(AI318&lt;&gt;"",N(AE318)&gt;0),AI318/AE318,"")</f>
        <v/>
      </c>
      <c r="AK318" s="20" t="str">
        <f aca="false">IF(AND(AI318&lt;&gt;"",N(X318)&gt;0),AI318/X318,"")</f>
        <v/>
      </c>
      <c r="AL318" s="21" t="str">
        <f aca="false">IF(AND(AC318="Sold",AD318&lt;&gt;"",Z318&lt;&gt;""),AD318-Z318,"")</f>
        <v/>
      </c>
      <c r="AM318" s="20" t="str">
        <f aca="false">IF(AND(AC318="Sold",N(AA318)&gt;0,AE318&lt;&gt;""),1-AE318/AA318,"")</f>
        <v/>
      </c>
      <c r="AN318" s="21" t="str">
        <f aca="true">IF(AND(AC318&lt;&gt;"Sold",AC318&lt;&gt;"",Z318&lt;&gt;""),TODAY()-Z318,"")</f>
        <v/>
      </c>
      <c r="AO318" s="4"/>
      <c r="AP318" s="4"/>
    </row>
    <row r="319" customFormat="false" ht="1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14"/>
      <c r="O319" s="15"/>
      <c r="P319" s="16"/>
      <c r="Q319" s="4"/>
      <c r="R319" s="17"/>
      <c r="S319" s="18" t="str">
        <f aca="false">IF(OR(P319="",R319=""),"",P319*R319)</f>
        <v/>
      </c>
      <c r="T319" s="14"/>
      <c r="U319" s="14"/>
      <c r="V319" s="14"/>
      <c r="W319" s="14"/>
      <c r="X319" s="18" t="str">
        <f aca="false">IF(S319="","",S319+N(T319)+N(U319)+N(V319)+N(W319))</f>
        <v/>
      </c>
      <c r="Y319" s="4"/>
      <c r="Z319" s="15"/>
      <c r="AA319" s="14"/>
      <c r="AB319" s="19"/>
      <c r="AC319" s="4"/>
      <c r="AD319" s="15"/>
      <c r="AE319" s="14"/>
      <c r="AF319" s="14"/>
      <c r="AG319" s="14"/>
      <c r="AH319" s="18" t="str">
        <f aca="false">IF(AND(AC319="Sold",AE319&lt;&gt;"",AF319&lt;&gt;""),AE319-AF319,"")</f>
        <v/>
      </c>
      <c r="AI319" s="18" t="str">
        <f aca="false">IF(AND(AC319="Sold",AF319&lt;&gt;"",X319&lt;&gt;""),AF319-N(AG319)-X319,"")</f>
        <v/>
      </c>
      <c r="AJ319" s="20" t="str">
        <f aca="false">IF(AND(AI319&lt;&gt;"",N(AE319)&gt;0),AI319/AE319,"")</f>
        <v/>
      </c>
      <c r="AK319" s="20" t="str">
        <f aca="false">IF(AND(AI319&lt;&gt;"",N(X319)&gt;0),AI319/X319,"")</f>
        <v/>
      </c>
      <c r="AL319" s="21" t="str">
        <f aca="false">IF(AND(AC319="Sold",AD319&lt;&gt;"",Z319&lt;&gt;""),AD319-Z319,"")</f>
        <v/>
      </c>
      <c r="AM319" s="20" t="str">
        <f aca="false">IF(AND(AC319="Sold",N(AA319)&gt;0,AE319&lt;&gt;""),1-AE319/AA319,"")</f>
        <v/>
      </c>
      <c r="AN319" s="21" t="str">
        <f aca="true">IF(AND(AC319&lt;&gt;"Sold",AC319&lt;&gt;"",Z319&lt;&gt;""),TODAY()-Z319,"")</f>
        <v/>
      </c>
      <c r="AO319" s="4"/>
      <c r="AP319" s="4"/>
    </row>
    <row r="320" customFormat="false" ht="1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14"/>
      <c r="O320" s="15"/>
      <c r="P320" s="16"/>
      <c r="Q320" s="4"/>
      <c r="R320" s="17"/>
      <c r="S320" s="18" t="str">
        <f aca="false">IF(OR(P320="",R320=""),"",P320*R320)</f>
        <v/>
      </c>
      <c r="T320" s="14"/>
      <c r="U320" s="14"/>
      <c r="V320" s="14"/>
      <c r="W320" s="14"/>
      <c r="X320" s="18" t="str">
        <f aca="false">IF(S320="","",S320+N(T320)+N(U320)+N(V320)+N(W320))</f>
        <v/>
      </c>
      <c r="Y320" s="4"/>
      <c r="Z320" s="15"/>
      <c r="AA320" s="14"/>
      <c r="AB320" s="19"/>
      <c r="AC320" s="4"/>
      <c r="AD320" s="15"/>
      <c r="AE320" s="14"/>
      <c r="AF320" s="14"/>
      <c r="AG320" s="14"/>
      <c r="AH320" s="18" t="str">
        <f aca="false">IF(AND(AC320="Sold",AE320&lt;&gt;"",AF320&lt;&gt;""),AE320-AF320,"")</f>
        <v/>
      </c>
      <c r="AI320" s="18" t="str">
        <f aca="false">IF(AND(AC320="Sold",AF320&lt;&gt;"",X320&lt;&gt;""),AF320-N(AG320)-X320,"")</f>
        <v/>
      </c>
      <c r="AJ320" s="20" t="str">
        <f aca="false">IF(AND(AI320&lt;&gt;"",N(AE320)&gt;0),AI320/AE320,"")</f>
        <v/>
      </c>
      <c r="AK320" s="20" t="str">
        <f aca="false">IF(AND(AI320&lt;&gt;"",N(X320)&gt;0),AI320/X320,"")</f>
        <v/>
      </c>
      <c r="AL320" s="21" t="str">
        <f aca="false">IF(AND(AC320="Sold",AD320&lt;&gt;"",Z320&lt;&gt;""),AD320-Z320,"")</f>
        <v/>
      </c>
      <c r="AM320" s="20" t="str">
        <f aca="false">IF(AND(AC320="Sold",N(AA320)&gt;0,AE320&lt;&gt;""),1-AE320/AA320,"")</f>
        <v/>
      </c>
      <c r="AN320" s="21" t="str">
        <f aca="true">IF(AND(AC320&lt;&gt;"Sold",AC320&lt;&gt;"",Z320&lt;&gt;""),TODAY()-Z320,"")</f>
        <v/>
      </c>
      <c r="AO320" s="4"/>
      <c r="AP320" s="4"/>
    </row>
    <row r="321" customFormat="false" ht="1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14"/>
      <c r="O321" s="15"/>
      <c r="P321" s="16"/>
      <c r="Q321" s="4"/>
      <c r="R321" s="17"/>
      <c r="S321" s="18" t="str">
        <f aca="false">IF(OR(P321="",R321=""),"",P321*R321)</f>
        <v/>
      </c>
      <c r="T321" s="14"/>
      <c r="U321" s="14"/>
      <c r="V321" s="14"/>
      <c r="W321" s="14"/>
      <c r="X321" s="18" t="str">
        <f aca="false">IF(S321="","",S321+N(T321)+N(U321)+N(V321)+N(W321))</f>
        <v/>
      </c>
      <c r="Y321" s="4"/>
      <c r="Z321" s="15"/>
      <c r="AA321" s="14"/>
      <c r="AB321" s="19"/>
      <c r="AC321" s="4"/>
      <c r="AD321" s="15"/>
      <c r="AE321" s="14"/>
      <c r="AF321" s="14"/>
      <c r="AG321" s="14"/>
      <c r="AH321" s="18" t="str">
        <f aca="false">IF(AND(AC321="Sold",AE321&lt;&gt;"",AF321&lt;&gt;""),AE321-AF321,"")</f>
        <v/>
      </c>
      <c r="AI321" s="18" t="str">
        <f aca="false">IF(AND(AC321="Sold",AF321&lt;&gt;"",X321&lt;&gt;""),AF321-N(AG321)-X321,"")</f>
        <v/>
      </c>
      <c r="AJ321" s="20" t="str">
        <f aca="false">IF(AND(AI321&lt;&gt;"",N(AE321)&gt;0),AI321/AE321,"")</f>
        <v/>
      </c>
      <c r="AK321" s="20" t="str">
        <f aca="false">IF(AND(AI321&lt;&gt;"",N(X321)&gt;0),AI321/X321,"")</f>
        <v/>
      </c>
      <c r="AL321" s="21" t="str">
        <f aca="false">IF(AND(AC321="Sold",AD321&lt;&gt;"",Z321&lt;&gt;""),AD321-Z321,"")</f>
        <v/>
      </c>
      <c r="AM321" s="20" t="str">
        <f aca="false">IF(AND(AC321="Sold",N(AA321)&gt;0,AE321&lt;&gt;""),1-AE321/AA321,"")</f>
        <v/>
      </c>
      <c r="AN321" s="21" t="str">
        <f aca="true">IF(AND(AC321&lt;&gt;"Sold",AC321&lt;&gt;"",Z321&lt;&gt;""),TODAY()-Z321,"")</f>
        <v/>
      </c>
      <c r="AO321" s="4"/>
      <c r="AP321" s="4"/>
    </row>
    <row r="322" customFormat="false" ht="1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14"/>
      <c r="O322" s="15"/>
      <c r="P322" s="16"/>
      <c r="Q322" s="4"/>
      <c r="R322" s="17"/>
      <c r="S322" s="18" t="str">
        <f aca="false">IF(OR(P322="",R322=""),"",P322*R322)</f>
        <v/>
      </c>
      <c r="T322" s="14"/>
      <c r="U322" s="14"/>
      <c r="V322" s="14"/>
      <c r="W322" s="14"/>
      <c r="X322" s="18" t="str">
        <f aca="false">IF(S322="","",S322+N(T322)+N(U322)+N(V322)+N(W322))</f>
        <v/>
      </c>
      <c r="Y322" s="4"/>
      <c r="Z322" s="15"/>
      <c r="AA322" s="14"/>
      <c r="AB322" s="19"/>
      <c r="AC322" s="4"/>
      <c r="AD322" s="15"/>
      <c r="AE322" s="14"/>
      <c r="AF322" s="14"/>
      <c r="AG322" s="14"/>
      <c r="AH322" s="18" t="str">
        <f aca="false">IF(AND(AC322="Sold",AE322&lt;&gt;"",AF322&lt;&gt;""),AE322-AF322,"")</f>
        <v/>
      </c>
      <c r="AI322" s="18" t="str">
        <f aca="false">IF(AND(AC322="Sold",AF322&lt;&gt;"",X322&lt;&gt;""),AF322-N(AG322)-X322,"")</f>
        <v/>
      </c>
      <c r="AJ322" s="20" t="str">
        <f aca="false">IF(AND(AI322&lt;&gt;"",N(AE322)&gt;0),AI322/AE322,"")</f>
        <v/>
      </c>
      <c r="AK322" s="20" t="str">
        <f aca="false">IF(AND(AI322&lt;&gt;"",N(X322)&gt;0),AI322/X322,"")</f>
        <v/>
      </c>
      <c r="AL322" s="21" t="str">
        <f aca="false">IF(AND(AC322="Sold",AD322&lt;&gt;"",Z322&lt;&gt;""),AD322-Z322,"")</f>
        <v/>
      </c>
      <c r="AM322" s="20" t="str">
        <f aca="false">IF(AND(AC322="Sold",N(AA322)&gt;0,AE322&lt;&gt;""),1-AE322/AA322,"")</f>
        <v/>
      </c>
      <c r="AN322" s="21" t="str">
        <f aca="true">IF(AND(AC322&lt;&gt;"Sold",AC322&lt;&gt;"",Z322&lt;&gt;""),TODAY()-Z322,"")</f>
        <v/>
      </c>
      <c r="AO322" s="4"/>
      <c r="AP322" s="4"/>
    </row>
    <row r="323" customFormat="false" ht="1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14"/>
      <c r="O323" s="15"/>
      <c r="P323" s="16"/>
      <c r="Q323" s="4"/>
      <c r="R323" s="17"/>
      <c r="S323" s="18" t="str">
        <f aca="false">IF(OR(P323="",R323=""),"",P323*R323)</f>
        <v/>
      </c>
      <c r="T323" s="14"/>
      <c r="U323" s="14"/>
      <c r="V323" s="14"/>
      <c r="W323" s="14"/>
      <c r="X323" s="18" t="str">
        <f aca="false">IF(S323="","",S323+N(T323)+N(U323)+N(V323)+N(W323))</f>
        <v/>
      </c>
      <c r="Y323" s="4"/>
      <c r="Z323" s="15"/>
      <c r="AA323" s="14"/>
      <c r="AB323" s="19"/>
      <c r="AC323" s="4"/>
      <c r="AD323" s="15"/>
      <c r="AE323" s="14"/>
      <c r="AF323" s="14"/>
      <c r="AG323" s="14"/>
      <c r="AH323" s="18" t="str">
        <f aca="false">IF(AND(AC323="Sold",AE323&lt;&gt;"",AF323&lt;&gt;""),AE323-AF323,"")</f>
        <v/>
      </c>
      <c r="AI323" s="18" t="str">
        <f aca="false">IF(AND(AC323="Sold",AF323&lt;&gt;"",X323&lt;&gt;""),AF323-N(AG323)-X323,"")</f>
        <v/>
      </c>
      <c r="AJ323" s="20" t="str">
        <f aca="false">IF(AND(AI323&lt;&gt;"",N(AE323)&gt;0),AI323/AE323,"")</f>
        <v/>
      </c>
      <c r="AK323" s="20" t="str">
        <f aca="false">IF(AND(AI323&lt;&gt;"",N(X323)&gt;0),AI323/X323,"")</f>
        <v/>
      </c>
      <c r="AL323" s="21" t="str">
        <f aca="false">IF(AND(AC323="Sold",AD323&lt;&gt;"",Z323&lt;&gt;""),AD323-Z323,"")</f>
        <v/>
      </c>
      <c r="AM323" s="20" t="str">
        <f aca="false">IF(AND(AC323="Sold",N(AA323)&gt;0,AE323&lt;&gt;""),1-AE323/AA323,"")</f>
        <v/>
      </c>
      <c r="AN323" s="21" t="str">
        <f aca="true">IF(AND(AC323&lt;&gt;"Sold",AC323&lt;&gt;"",Z323&lt;&gt;""),TODAY()-Z323,"")</f>
        <v/>
      </c>
      <c r="AO323" s="4"/>
      <c r="AP323" s="4"/>
    </row>
    <row r="324" customFormat="false" ht="1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14"/>
      <c r="O324" s="15"/>
      <c r="P324" s="16"/>
      <c r="Q324" s="4"/>
      <c r="R324" s="17"/>
      <c r="S324" s="18" t="str">
        <f aca="false">IF(OR(P324="",R324=""),"",P324*R324)</f>
        <v/>
      </c>
      <c r="T324" s="14"/>
      <c r="U324" s="14"/>
      <c r="V324" s="14"/>
      <c r="W324" s="14"/>
      <c r="X324" s="18" t="str">
        <f aca="false">IF(S324="","",S324+N(T324)+N(U324)+N(V324)+N(W324))</f>
        <v/>
      </c>
      <c r="Y324" s="4"/>
      <c r="Z324" s="15"/>
      <c r="AA324" s="14"/>
      <c r="AB324" s="19"/>
      <c r="AC324" s="4"/>
      <c r="AD324" s="15"/>
      <c r="AE324" s="14"/>
      <c r="AF324" s="14"/>
      <c r="AG324" s="14"/>
      <c r="AH324" s="18" t="str">
        <f aca="false">IF(AND(AC324="Sold",AE324&lt;&gt;"",AF324&lt;&gt;""),AE324-AF324,"")</f>
        <v/>
      </c>
      <c r="AI324" s="18" t="str">
        <f aca="false">IF(AND(AC324="Sold",AF324&lt;&gt;"",X324&lt;&gt;""),AF324-N(AG324)-X324,"")</f>
        <v/>
      </c>
      <c r="AJ324" s="20" t="str">
        <f aca="false">IF(AND(AI324&lt;&gt;"",N(AE324)&gt;0),AI324/AE324,"")</f>
        <v/>
      </c>
      <c r="AK324" s="20" t="str">
        <f aca="false">IF(AND(AI324&lt;&gt;"",N(X324)&gt;0),AI324/X324,"")</f>
        <v/>
      </c>
      <c r="AL324" s="21" t="str">
        <f aca="false">IF(AND(AC324="Sold",AD324&lt;&gt;"",Z324&lt;&gt;""),AD324-Z324,"")</f>
        <v/>
      </c>
      <c r="AM324" s="20" t="str">
        <f aca="false">IF(AND(AC324="Sold",N(AA324)&gt;0,AE324&lt;&gt;""),1-AE324/AA324,"")</f>
        <v/>
      </c>
      <c r="AN324" s="21" t="str">
        <f aca="true">IF(AND(AC324&lt;&gt;"Sold",AC324&lt;&gt;"",Z324&lt;&gt;""),TODAY()-Z324,"")</f>
        <v/>
      </c>
      <c r="AO324" s="4"/>
      <c r="AP324" s="4"/>
    </row>
    <row r="325" customFormat="false" ht="1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14"/>
      <c r="O325" s="15"/>
      <c r="P325" s="16"/>
      <c r="Q325" s="4"/>
      <c r="R325" s="17"/>
      <c r="S325" s="18" t="str">
        <f aca="false">IF(OR(P325="",R325=""),"",P325*R325)</f>
        <v/>
      </c>
      <c r="T325" s="14"/>
      <c r="U325" s="14"/>
      <c r="V325" s="14"/>
      <c r="W325" s="14"/>
      <c r="X325" s="18" t="str">
        <f aca="false">IF(S325="","",S325+N(T325)+N(U325)+N(V325)+N(W325))</f>
        <v/>
      </c>
      <c r="Y325" s="4"/>
      <c r="Z325" s="15"/>
      <c r="AA325" s="14"/>
      <c r="AB325" s="19"/>
      <c r="AC325" s="4"/>
      <c r="AD325" s="15"/>
      <c r="AE325" s="14"/>
      <c r="AF325" s="14"/>
      <c r="AG325" s="14"/>
      <c r="AH325" s="18" t="str">
        <f aca="false">IF(AND(AC325="Sold",AE325&lt;&gt;"",AF325&lt;&gt;""),AE325-AF325,"")</f>
        <v/>
      </c>
      <c r="AI325" s="18" t="str">
        <f aca="false">IF(AND(AC325="Sold",AF325&lt;&gt;"",X325&lt;&gt;""),AF325-N(AG325)-X325,"")</f>
        <v/>
      </c>
      <c r="AJ325" s="20" t="str">
        <f aca="false">IF(AND(AI325&lt;&gt;"",N(AE325)&gt;0),AI325/AE325,"")</f>
        <v/>
      </c>
      <c r="AK325" s="20" t="str">
        <f aca="false">IF(AND(AI325&lt;&gt;"",N(X325)&gt;0),AI325/X325,"")</f>
        <v/>
      </c>
      <c r="AL325" s="21" t="str">
        <f aca="false">IF(AND(AC325="Sold",AD325&lt;&gt;"",Z325&lt;&gt;""),AD325-Z325,"")</f>
        <v/>
      </c>
      <c r="AM325" s="20" t="str">
        <f aca="false">IF(AND(AC325="Sold",N(AA325)&gt;0,AE325&lt;&gt;""),1-AE325/AA325,"")</f>
        <v/>
      </c>
      <c r="AN325" s="21" t="str">
        <f aca="true">IF(AND(AC325&lt;&gt;"Sold",AC325&lt;&gt;"",Z325&lt;&gt;""),TODAY()-Z325,"")</f>
        <v/>
      </c>
      <c r="AO325" s="4"/>
      <c r="AP325" s="4"/>
    </row>
    <row r="326" customFormat="false" ht="1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14"/>
      <c r="O326" s="15"/>
      <c r="P326" s="16"/>
      <c r="Q326" s="4"/>
      <c r="R326" s="17"/>
      <c r="S326" s="18" t="str">
        <f aca="false">IF(OR(P326="",R326=""),"",P326*R326)</f>
        <v/>
      </c>
      <c r="T326" s="14"/>
      <c r="U326" s="14"/>
      <c r="V326" s="14"/>
      <c r="W326" s="14"/>
      <c r="X326" s="18" t="str">
        <f aca="false">IF(S326="","",S326+N(T326)+N(U326)+N(V326)+N(W326))</f>
        <v/>
      </c>
      <c r="Y326" s="4"/>
      <c r="Z326" s="15"/>
      <c r="AA326" s="14"/>
      <c r="AB326" s="19"/>
      <c r="AC326" s="4"/>
      <c r="AD326" s="15"/>
      <c r="AE326" s="14"/>
      <c r="AF326" s="14"/>
      <c r="AG326" s="14"/>
      <c r="AH326" s="18" t="str">
        <f aca="false">IF(AND(AC326="Sold",AE326&lt;&gt;"",AF326&lt;&gt;""),AE326-AF326,"")</f>
        <v/>
      </c>
      <c r="AI326" s="18" t="str">
        <f aca="false">IF(AND(AC326="Sold",AF326&lt;&gt;"",X326&lt;&gt;""),AF326-N(AG326)-X326,"")</f>
        <v/>
      </c>
      <c r="AJ326" s="20" t="str">
        <f aca="false">IF(AND(AI326&lt;&gt;"",N(AE326)&gt;0),AI326/AE326,"")</f>
        <v/>
      </c>
      <c r="AK326" s="20" t="str">
        <f aca="false">IF(AND(AI326&lt;&gt;"",N(X326)&gt;0),AI326/X326,"")</f>
        <v/>
      </c>
      <c r="AL326" s="21" t="str">
        <f aca="false">IF(AND(AC326="Sold",AD326&lt;&gt;"",Z326&lt;&gt;""),AD326-Z326,"")</f>
        <v/>
      </c>
      <c r="AM326" s="20" t="str">
        <f aca="false">IF(AND(AC326="Sold",N(AA326)&gt;0,AE326&lt;&gt;""),1-AE326/AA326,"")</f>
        <v/>
      </c>
      <c r="AN326" s="21" t="str">
        <f aca="true">IF(AND(AC326&lt;&gt;"Sold",AC326&lt;&gt;"",Z326&lt;&gt;""),TODAY()-Z326,"")</f>
        <v/>
      </c>
      <c r="AO326" s="4"/>
      <c r="AP326" s="4"/>
    </row>
    <row r="327" customFormat="false" ht="1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14"/>
      <c r="O327" s="15"/>
      <c r="P327" s="16"/>
      <c r="Q327" s="4"/>
      <c r="R327" s="17"/>
      <c r="S327" s="18" t="str">
        <f aca="false">IF(OR(P327="",R327=""),"",P327*R327)</f>
        <v/>
      </c>
      <c r="T327" s="14"/>
      <c r="U327" s="14"/>
      <c r="V327" s="14"/>
      <c r="W327" s="14"/>
      <c r="X327" s="18" t="str">
        <f aca="false">IF(S327="","",S327+N(T327)+N(U327)+N(V327)+N(W327))</f>
        <v/>
      </c>
      <c r="Y327" s="4"/>
      <c r="Z327" s="15"/>
      <c r="AA327" s="14"/>
      <c r="AB327" s="19"/>
      <c r="AC327" s="4"/>
      <c r="AD327" s="15"/>
      <c r="AE327" s="14"/>
      <c r="AF327" s="14"/>
      <c r="AG327" s="14"/>
      <c r="AH327" s="18" t="str">
        <f aca="false">IF(AND(AC327="Sold",AE327&lt;&gt;"",AF327&lt;&gt;""),AE327-AF327,"")</f>
        <v/>
      </c>
      <c r="AI327" s="18" t="str">
        <f aca="false">IF(AND(AC327="Sold",AF327&lt;&gt;"",X327&lt;&gt;""),AF327-N(AG327)-X327,"")</f>
        <v/>
      </c>
      <c r="AJ327" s="20" t="str">
        <f aca="false">IF(AND(AI327&lt;&gt;"",N(AE327)&gt;0),AI327/AE327,"")</f>
        <v/>
      </c>
      <c r="AK327" s="20" t="str">
        <f aca="false">IF(AND(AI327&lt;&gt;"",N(X327)&gt;0),AI327/X327,"")</f>
        <v/>
      </c>
      <c r="AL327" s="21" t="str">
        <f aca="false">IF(AND(AC327="Sold",AD327&lt;&gt;"",Z327&lt;&gt;""),AD327-Z327,"")</f>
        <v/>
      </c>
      <c r="AM327" s="20" t="str">
        <f aca="false">IF(AND(AC327="Sold",N(AA327)&gt;0,AE327&lt;&gt;""),1-AE327/AA327,"")</f>
        <v/>
      </c>
      <c r="AN327" s="21" t="str">
        <f aca="true">IF(AND(AC327&lt;&gt;"Sold",AC327&lt;&gt;"",Z327&lt;&gt;""),TODAY()-Z327,"")</f>
        <v/>
      </c>
      <c r="AO327" s="4"/>
      <c r="AP327" s="4"/>
    </row>
    <row r="328" customFormat="false" ht="1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14"/>
      <c r="O328" s="15"/>
      <c r="P328" s="16"/>
      <c r="Q328" s="4"/>
      <c r="R328" s="17"/>
      <c r="S328" s="18" t="str">
        <f aca="false">IF(OR(P328="",R328=""),"",P328*R328)</f>
        <v/>
      </c>
      <c r="T328" s="14"/>
      <c r="U328" s="14"/>
      <c r="V328" s="14"/>
      <c r="W328" s="14"/>
      <c r="X328" s="18" t="str">
        <f aca="false">IF(S328="","",S328+N(T328)+N(U328)+N(V328)+N(W328))</f>
        <v/>
      </c>
      <c r="Y328" s="4"/>
      <c r="Z328" s="15"/>
      <c r="AA328" s="14"/>
      <c r="AB328" s="19"/>
      <c r="AC328" s="4"/>
      <c r="AD328" s="15"/>
      <c r="AE328" s="14"/>
      <c r="AF328" s="14"/>
      <c r="AG328" s="14"/>
      <c r="AH328" s="18" t="str">
        <f aca="false">IF(AND(AC328="Sold",AE328&lt;&gt;"",AF328&lt;&gt;""),AE328-AF328,"")</f>
        <v/>
      </c>
      <c r="AI328" s="18" t="str">
        <f aca="false">IF(AND(AC328="Sold",AF328&lt;&gt;"",X328&lt;&gt;""),AF328-N(AG328)-X328,"")</f>
        <v/>
      </c>
      <c r="AJ328" s="20" t="str">
        <f aca="false">IF(AND(AI328&lt;&gt;"",N(AE328)&gt;0),AI328/AE328,"")</f>
        <v/>
      </c>
      <c r="AK328" s="20" t="str">
        <f aca="false">IF(AND(AI328&lt;&gt;"",N(X328)&gt;0),AI328/X328,"")</f>
        <v/>
      </c>
      <c r="AL328" s="21" t="str">
        <f aca="false">IF(AND(AC328="Sold",AD328&lt;&gt;"",Z328&lt;&gt;""),AD328-Z328,"")</f>
        <v/>
      </c>
      <c r="AM328" s="20" t="str">
        <f aca="false">IF(AND(AC328="Sold",N(AA328)&gt;0,AE328&lt;&gt;""),1-AE328/AA328,"")</f>
        <v/>
      </c>
      <c r="AN328" s="21" t="str">
        <f aca="true">IF(AND(AC328&lt;&gt;"Sold",AC328&lt;&gt;"",Z328&lt;&gt;""),TODAY()-Z328,"")</f>
        <v/>
      </c>
      <c r="AO328" s="4"/>
      <c r="AP328" s="4"/>
    </row>
    <row r="329" customFormat="false" ht="1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14"/>
      <c r="O329" s="15"/>
      <c r="P329" s="16"/>
      <c r="Q329" s="4"/>
      <c r="R329" s="17"/>
      <c r="S329" s="18" t="str">
        <f aca="false">IF(OR(P329="",R329=""),"",P329*R329)</f>
        <v/>
      </c>
      <c r="T329" s="14"/>
      <c r="U329" s="14"/>
      <c r="V329" s="14"/>
      <c r="W329" s="14"/>
      <c r="X329" s="18" t="str">
        <f aca="false">IF(S329="","",S329+N(T329)+N(U329)+N(V329)+N(W329))</f>
        <v/>
      </c>
      <c r="Y329" s="4"/>
      <c r="Z329" s="15"/>
      <c r="AA329" s="14"/>
      <c r="AB329" s="19"/>
      <c r="AC329" s="4"/>
      <c r="AD329" s="15"/>
      <c r="AE329" s="14"/>
      <c r="AF329" s="14"/>
      <c r="AG329" s="14"/>
      <c r="AH329" s="18" t="str">
        <f aca="false">IF(AND(AC329="Sold",AE329&lt;&gt;"",AF329&lt;&gt;""),AE329-AF329,"")</f>
        <v/>
      </c>
      <c r="AI329" s="18" t="str">
        <f aca="false">IF(AND(AC329="Sold",AF329&lt;&gt;"",X329&lt;&gt;""),AF329-N(AG329)-X329,"")</f>
        <v/>
      </c>
      <c r="AJ329" s="20" t="str">
        <f aca="false">IF(AND(AI329&lt;&gt;"",N(AE329)&gt;0),AI329/AE329,"")</f>
        <v/>
      </c>
      <c r="AK329" s="20" t="str">
        <f aca="false">IF(AND(AI329&lt;&gt;"",N(X329)&gt;0),AI329/X329,"")</f>
        <v/>
      </c>
      <c r="AL329" s="21" t="str">
        <f aca="false">IF(AND(AC329="Sold",AD329&lt;&gt;"",Z329&lt;&gt;""),AD329-Z329,"")</f>
        <v/>
      </c>
      <c r="AM329" s="20" t="str">
        <f aca="false">IF(AND(AC329="Sold",N(AA329)&gt;0,AE329&lt;&gt;""),1-AE329/AA329,"")</f>
        <v/>
      </c>
      <c r="AN329" s="21" t="str">
        <f aca="true">IF(AND(AC329&lt;&gt;"Sold",AC329&lt;&gt;"",Z329&lt;&gt;""),TODAY()-Z329,"")</f>
        <v/>
      </c>
      <c r="AO329" s="4"/>
      <c r="AP329" s="4"/>
    </row>
    <row r="330" customFormat="false" ht="1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14"/>
      <c r="O330" s="15"/>
      <c r="P330" s="16"/>
      <c r="Q330" s="4"/>
      <c r="R330" s="17"/>
      <c r="S330" s="18" t="str">
        <f aca="false">IF(OR(P330="",R330=""),"",P330*R330)</f>
        <v/>
      </c>
      <c r="T330" s="14"/>
      <c r="U330" s="14"/>
      <c r="V330" s="14"/>
      <c r="W330" s="14"/>
      <c r="X330" s="18" t="str">
        <f aca="false">IF(S330="","",S330+N(T330)+N(U330)+N(V330)+N(W330))</f>
        <v/>
      </c>
      <c r="Y330" s="4"/>
      <c r="Z330" s="15"/>
      <c r="AA330" s="14"/>
      <c r="AB330" s="19"/>
      <c r="AC330" s="4"/>
      <c r="AD330" s="15"/>
      <c r="AE330" s="14"/>
      <c r="AF330" s="14"/>
      <c r="AG330" s="14"/>
      <c r="AH330" s="18" t="str">
        <f aca="false">IF(AND(AC330="Sold",AE330&lt;&gt;"",AF330&lt;&gt;""),AE330-AF330,"")</f>
        <v/>
      </c>
      <c r="AI330" s="18" t="str">
        <f aca="false">IF(AND(AC330="Sold",AF330&lt;&gt;"",X330&lt;&gt;""),AF330-N(AG330)-X330,"")</f>
        <v/>
      </c>
      <c r="AJ330" s="20" t="str">
        <f aca="false">IF(AND(AI330&lt;&gt;"",N(AE330)&gt;0),AI330/AE330,"")</f>
        <v/>
      </c>
      <c r="AK330" s="20" t="str">
        <f aca="false">IF(AND(AI330&lt;&gt;"",N(X330)&gt;0),AI330/X330,"")</f>
        <v/>
      </c>
      <c r="AL330" s="21" t="str">
        <f aca="false">IF(AND(AC330="Sold",AD330&lt;&gt;"",Z330&lt;&gt;""),AD330-Z330,"")</f>
        <v/>
      </c>
      <c r="AM330" s="20" t="str">
        <f aca="false">IF(AND(AC330="Sold",N(AA330)&gt;0,AE330&lt;&gt;""),1-AE330/AA330,"")</f>
        <v/>
      </c>
      <c r="AN330" s="21" t="str">
        <f aca="true">IF(AND(AC330&lt;&gt;"Sold",AC330&lt;&gt;"",Z330&lt;&gt;""),TODAY()-Z330,"")</f>
        <v/>
      </c>
      <c r="AO330" s="4"/>
      <c r="AP330" s="4"/>
    </row>
    <row r="331" customFormat="false" ht="1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14"/>
      <c r="O331" s="15"/>
      <c r="P331" s="16"/>
      <c r="Q331" s="4"/>
      <c r="R331" s="17"/>
      <c r="S331" s="18" t="str">
        <f aca="false">IF(OR(P331="",R331=""),"",P331*R331)</f>
        <v/>
      </c>
      <c r="T331" s="14"/>
      <c r="U331" s="14"/>
      <c r="V331" s="14"/>
      <c r="W331" s="14"/>
      <c r="X331" s="18" t="str">
        <f aca="false">IF(S331="","",S331+N(T331)+N(U331)+N(V331)+N(W331))</f>
        <v/>
      </c>
      <c r="Y331" s="4"/>
      <c r="Z331" s="15"/>
      <c r="AA331" s="14"/>
      <c r="AB331" s="19"/>
      <c r="AC331" s="4"/>
      <c r="AD331" s="15"/>
      <c r="AE331" s="14"/>
      <c r="AF331" s="14"/>
      <c r="AG331" s="14"/>
      <c r="AH331" s="18" t="str">
        <f aca="false">IF(AND(AC331="Sold",AE331&lt;&gt;"",AF331&lt;&gt;""),AE331-AF331,"")</f>
        <v/>
      </c>
      <c r="AI331" s="18" t="str">
        <f aca="false">IF(AND(AC331="Sold",AF331&lt;&gt;"",X331&lt;&gt;""),AF331-N(AG331)-X331,"")</f>
        <v/>
      </c>
      <c r="AJ331" s="20" t="str">
        <f aca="false">IF(AND(AI331&lt;&gt;"",N(AE331)&gt;0),AI331/AE331,"")</f>
        <v/>
      </c>
      <c r="AK331" s="20" t="str">
        <f aca="false">IF(AND(AI331&lt;&gt;"",N(X331)&gt;0),AI331/X331,"")</f>
        <v/>
      </c>
      <c r="AL331" s="21" t="str">
        <f aca="false">IF(AND(AC331="Sold",AD331&lt;&gt;"",Z331&lt;&gt;""),AD331-Z331,"")</f>
        <v/>
      </c>
      <c r="AM331" s="20" t="str">
        <f aca="false">IF(AND(AC331="Sold",N(AA331)&gt;0,AE331&lt;&gt;""),1-AE331/AA331,"")</f>
        <v/>
      </c>
      <c r="AN331" s="21" t="str">
        <f aca="true">IF(AND(AC331&lt;&gt;"Sold",AC331&lt;&gt;"",Z331&lt;&gt;""),TODAY()-Z331,"")</f>
        <v/>
      </c>
      <c r="AO331" s="4"/>
      <c r="AP331" s="4"/>
    </row>
    <row r="332" customFormat="false" ht="1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14"/>
      <c r="O332" s="15"/>
      <c r="P332" s="16"/>
      <c r="Q332" s="4"/>
      <c r="R332" s="17"/>
      <c r="S332" s="18" t="str">
        <f aca="false">IF(OR(P332="",R332=""),"",P332*R332)</f>
        <v/>
      </c>
      <c r="T332" s="14"/>
      <c r="U332" s="14"/>
      <c r="V332" s="14"/>
      <c r="W332" s="14"/>
      <c r="X332" s="18" t="str">
        <f aca="false">IF(S332="","",S332+N(T332)+N(U332)+N(V332)+N(W332))</f>
        <v/>
      </c>
      <c r="Y332" s="4"/>
      <c r="Z332" s="15"/>
      <c r="AA332" s="14"/>
      <c r="AB332" s="19"/>
      <c r="AC332" s="4"/>
      <c r="AD332" s="15"/>
      <c r="AE332" s="14"/>
      <c r="AF332" s="14"/>
      <c r="AG332" s="14"/>
      <c r="AH332" s="18" t="str">
        <f aca="false">IF(AND(AC332="Sold",AE332&lt;&gt;"",AF332&lt;&gt;""),AE332-AF332,"")</f>
        <v/>
      </c>
      <c r="AI332" s="18" t="str">
        <f aca="false">IF(AND(AC332="Sold",AF332&lt;&gt;"",X332&lt;&gt;""),AF332-N(AG332)-X332,"")</f>
        <v/>
      </c>
      <c r="AJ332" s="20" t="str">
        <f aca="false">IF(AND(AI332&lt;&gt;"",N(AE332)&gt;0),AI332/AE332,"")</f>
        <v/>
      </c>
      <c r="AK332" s="20" t="str">
        <f aca="false">IF(AND(AI332&lt;&gt;"",N(X332)&gt;0),AI332/X332,"")</f>
        <v/>
      </c>
      <c r="AL332" s="21" t="str">
        <f aca="false">IF(AND(AC332="Sold",AD332&lt;&gt;"",Z332&lt;&gt;""),AD332-Z332,"")</f>
        <v/>
      </c>
      <c r="AM332" s="20" t="str">
        <f aca="false">IF(AND(AC332="Sold",N(AA332)&gt;0,AE332&lt;&gt;""),1-AE332/AA332,"")</f>
        <v/>
      </c>
      <c r="AN332" s="21" t="str">
        <f aca="true">IF(AND(AC332&lt;&gt;"Sold",AC332&lt;&gt;"",Z332&lt;&gt;""),TODAY()-Z332,"")</f>
        <v/>
      </c>
      <c r="AO332" s="4"/>
      <c r="AP332" s="4"/>
    </row>
    <row r="333" customFormat="false" ht="1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14"/>
      <c r="O333" s="15"/>
      <c r="P333" s="16"/>
      <c r="Q333" s="4"/>
      <c r="R333" s="17"/>
      <c r="S333" s="18" t="str">
        <f aca="false">IF(OR(P333="",R333=""),"",P333*R333)</f>
        <v/>
      </c>
      <c r="T333" s="14"/>
      <c r="U333" s="14"/>
      <c r="V333" s="14"/>
      <c r="W333" s="14"/>
      <c r="X333" s="18" t="str">
        <f aca="false">IF(S333="","",S333+N(T333)+N(U333)+N(V333)+N(W333))</f>
        <v/>
      </c>
      <c r="Y333" s="4"/>
      <c r="Z333" s="15"/>
      <c r="AA333" s="14"/>
      <c r="AB333" s="19"/>
      <c r="AC333" s="4"/>
      <c r="AD333" s="15"/>
      <c r="AE333" s="14"/>
      <c r="AF333" s="14"/>
      <c r="AG333" s="14"/>
      <c r="AH333" s="18" t="str">
        <f aca="false">IF(AND(AC333="Sold",AE333&lt;&gt;"",AF333&lt;&gt;""),AE333-AF333,"")</f>
        <v/>
      </c>
      <c r="AI333" s="18" t="str">
        <f aca="false">IF(AND(AC333="Sold",AF333&lt;&gt;"",X333&lt;&gt;""),AF333-N(AG333)-X333,"")</f>
        <v/>
      </c>
      <c r="AJ333" s="20" t="str">
        <f aca="false">IF(AND(AI333&lt;&gt;"",N(AE333)&gt;0),AI333/AE333,"")</f>
        <v/>
      </c>
      <c r="AK333" s="20" t="str">
        <f aca="false">IF(AND(AI333&lt;&gt;"",N(X333)&gt;0),AI333/X333,"")</f>
        <v/>
      </c>
      <c r="AL333" s="21" t="str">
        <f aca="false">IF(AND(AC333="Sold",AD333&lt;&gt;"",Z333&lt;&gt;""),AD333-Z333,"")</f>
        <v/>
      </c>
      <c r="AM333" s="20" t="str">
        <f aca="false">IF(AND(AC333="Sold",N(AA333)&gt;0,AE333&lt;&gt;""),1-AE333/AA333,"")</f>
        <v/>
      </c>
      <c r="AN333" s="21" t="str">
        <f aca="true">IF(AND(AC333&lt;&gt;"Sold",AC333&lt;&gt;"",Z333&lt;&gt;""),TODAY()-Z333,"")</f>
        <v/>
      </c>
      <c r="AO333" s="4"/>
      <c r="AP333" s="4"/>
    </row>
    <row r="334" customFormat="false" ht="1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14"/>
      <c r="O334" s="15"/>
      <c r="P334" s="16"/>
      <c r="Q334" s="4"/>
      <c r="R334" s="17"/>
      <c r="S334" s="18" t="str">
        <f aca="false">IF(OR(P334="",R334=""),"",P334*R334)</f>
        <v/>
      </c>
      <c r="T334" s="14"/>
      <c r="U334" s="14"/>
      <c r="V334" s="14"/>
      <c r="W334" s="14"/>
      <c r="X334" s="18" t="str">
        <f aca="false">IF(S334="","",S334+N(T334)+N(U334)+N(V334)+N(W334))</f>
        <v/>
      </c>
      <c r="Y334" s="4"/>
      <c r="Z334" s="15"/>
      <c r="AA334" s="14"/>
      <c r="AB334" s="19"/>
      <c r="AC334" s="4"/>
      <c r="AD334" s="15"/>
      <c r="AE334" s="14"/>
      <c r="AF334" s="14"/>
      <c r="AG334" s="14"/>
      <c r="AH334" s="18" t="str">
        <f aca="false">IF(AND(AC334="Sold",AE334&lt;&gt;"",AF334&lt;&gt;""),AE334-AF334,"")</f>
        <v/>
      </c>
      <c r="AI334" s="18" t="str">
        <f aca="false">IF(AND(AC334="Sold",AF334&lt;&gt;"",X334&lt;&gt;""),AF334-N(AG334)-X334,"")</f>
        <v/>
      </c>
      <c r="AJ334" s="20" t="str">
        <f aca="false">IF(AND(AI334&lt;&gt;"",N(AE334)&gt;0),AI334/AE334,"")</f>
        <v/>
      </c>
      <c r="AK334" s="20" t="str">
        <f aca="false">IF(AND(AI334&lt;&gt;"",N(X334)&gt;0),AI334/X334,"")</f>
        <v/>
      </c>
      <c r="AL334" s="21" t="str">
        <f aca="false">IF(AND(AC334="Sold",AD334&lt;&gt;"",Z334&lt;&gt;""),AD334-Z334,"")</f>
        <v/>
      </c>
      <c r="AM334" s="20" t="str">
        <f aca="false">IF(AND(AC334="Sold",N(AA334)&gt;0,AE334&lt;&gt;""),1-AE334/AA334,"")</f>
        <v/>
      </c>
      <c r="AN334" s="21" t="str">
        <f aca="true">IF(AND(AC334&lt;&gt;"Sold",AC334&lt;&gt;"",Z334&lt;&gt;""),TODAY()-Z334,"")</f>
        <v/>
      </c>
      <c r="AO334" s="4"/>
      <c r="AP334" s="4"/>
    </row>
    <row r="335" customFormat="false" ht="1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14"/>
      <c r="O335" s="15"/>
      <c r="P335" s="16"/>
      <c r="Q335" s="4"/>
      <c r="R335" s="17"/>
      <c r="S335" s="18" t="str">
        <f aca="false">IF(OR(P335="",R335=""),"",P335*R335)</f>
        <v/>
      </c>
      <c r="T335" s="14"/>
      <c r="U335" s="14"/>
      <c r="V335" s="14"/>
      <c r="W335" s="14"/>
      <c r="X335" s="18" t="str">
        <f aca="false">IF(S335="","",S335+N(T335)+N(U335)+N(V335)+N(W335))</f>
        <v/>
      </c>
      <c r="Y335" s="4"/>
      <c r="Z335" s="15"/>
      <c r="AA335" s="14"/>
      <c r="AB335" s="19"/>
      <c r="AC335" s="4"/>
      <c r="AD335" s="15"/>
      <c r="AE335" s="14"/>
      <c r="AF335" s="14"/>
      <c r="AG335" s="14"/>
      <c r="AH335" s="18" t="str">
        <f aca="false">IF(AND(AC335="Sold",AE335&lt;&gt;"",AF335&lt;&gt;""),AE335-AF335,"")</f>
        <v/>
      </c>
      <c r="AI335" s="18" t="str">
        <f aca="false">IF(AND(AC335="Sold",AF335&lt;&gt;"",X335&lt;&gt;""),AF335-N(AG335)-X335,"")</f>
        <v/>
      </c>
      <c r="AJ335" s="20" t="str">
        <f aca="false">IF(AND(AI335&lt;&gt;"",N(AE335)&gt;0),AI335/AE335,"")</f>
        <v/>
      </c>
      <c r="AK335" s="20" t="str">
        <f aca="false">IF(AND(AI335&lt;&gt;"",N(X335)&gt;0),AI335/X335,"")</f>
        <v/>
      </c>
      <c r="AL335" s="21" t="str">
        <f aca="false">IF(AND(AC335="Sold",AD335&lt;&gt;"",Z335&lt;&gt;""),AD335-Z335,"")</f>
        <v/>
      </c>
      <c r="AM335" s="20" t="str">
        <f aca="false">IF(AND(AC335="Sold",N(AA335)&gt;0,AE335&lt;&gt;""),1-AE335/AA335,"")</f>
        <v/>
      </c>
      <c r="AN335" s="21" t="str">
        <f aca="true">IF(AND(AC335&lt;&gt;"Sold",AC335&lt;&gt;"",Z335&lt;&gt;""),TODAY()-Z335,"")</f>
        <v/>
      </c>
      <c r="AO335" s="4"/>
      <c r="AP335" s="4"/>
    </row>
    <row r="336" customFormat="false" ht="1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14"/>
      <c r="O336" s="15"/>
      <c r="P336" s="16"/>
      <c r="Q336" s="4"/>
      <c r="R336" s="17"/>
      <c r="S336" s="18" t="str">
        <f aca="false">IF(OR(P336="",R336=""),"",P336*R336)</f>
        <v/>
      </c>
      <c r="T336" s="14"/>
      <c r="U336" s="14"/>
      <c r="V336" s="14"/>
      <c r="W336" s="14"/>
      <c r="X336" s="18" t="str">
        <f aca="false">IF(S336="","",S336+N(T336)+N(U336)+N(V336)+N(W336))</f>
        <v/>
      </c>
      <c r="Y336" s="4"/>
      <c r="Z336" s="15"/>
      <c r="AA336" s="14"/>
      <c r="AB336" s="19"/>
      <c r="AC336" s="4"/>
      <c r="AD336" s="15"/>
      <c r="AE336" s="14"/>
      <c r="AF336" s="14"/>
      <c r="AG336" s="14"/>
      <c r="AH336" s="18" t="str">
        <f aca="false">IF(AND(AC336="Sold",AE336&lt;&gt;"",AF336&lt;&gt;""),AE336-AF336,"")</f>
        <v/>
      </c>
      <c r="AI336" s="18" t="str">
        <f aca="false">IF(AND(AC336="Sold",AF336&lt;&gt;"",X336&lt;&gt;""),AF336-N(AG336)-X336,"")</f>
        <v/>
      </c>
      <c r="AJ336" s="20" t="str">
        <f aca="false">IF(AND(AI336&lt;&gt;"",N(AE336)&gt;0),AI336/AE336,"")</f>
        <v/>
      </c>
      <c r="AK336" s="20" t="str">
        <f aca="false">IF(AND(AI336&lt;&gt;"",N(X336)&gt;0),AI336/X336,"")</f>
        <v/>
      </c>
      <c r="AL336" s="21" t="str">
        <f aca="false">IF(AND(AC336="Sold",AD336&lt;&gt;"",Z336&lt;&gt;""),AD336-Z336,"")</f>
        <v/>
      </c>
      <c r="AM336" s="20" t="str">
        <f aca="false">IF(AND(AC336="Sold",N(AA336)&gt;0,AE336&lt;&gt;""),1-AE336/AA336,"")</f>
        <v/>
      </c>
      <c r="AN336" s="21" t="str">
        <f aca="true">IF(AND(AC336&lt;&gt;"Sold",AC336&lt;&gt;"",Z336&lt;&gt;""),TODAY()-Z336,"")</f>
        <v/>
      </c>
      <c r="AO336" s="4"/>
      <c r="AP336" s="4"/>
    </row>
    <row r="337" customFormat="false" ht="1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14"/>
      <c r="O337" s="15"/>
      <c r="P337" s="16"/>
      <c r="Q337" s="4"/>
      <c r="R337" s="17"/>
      <c r="S337" s="18" t="str">
        <f aca="false">IF(OR(P337="",R337=""),"",P337*R337)</f>
        <v/>
      </c>
      <c r="T337" s="14"/>
      <c r="U337" s="14"/>
      <c r="V337" s="14"/>
      <c r="W337" s="14"/>
      <c r="X337" s="18" t="str">
        <f aca="false">IF(S337="","",S337+N(T337)+N(U337)+N(V337)+N(W337))</f>
        <v/>
      </c>
      <c r="Y337" s="4"/>
      <c r="Z337" s="15"/>
      <c r="AA337" s="14"/>
      <c r="AB337" s="19"/>
      <c r="AC337" s="4"/>
      <c r="AD337" s="15"/>
      <c r="AE337" s="14"/>
      <c r="AF337" s="14"/>
      <c r="AG337" s="14"/>
      <c r="AH337" s="18" t="str">
        <f aca="false">IF(AND(AC337="Sold",AE337&lt;&gt;"",AF337&lt;&gt;""),AE337-AF337,"")</f>
        <v/>
      </c>
      <c r="AI337" s="18" t="str">
        <f aca="false">IF(AND(AC337="Sold",AF337&lt;&gt;"",X337&lt;&gt;""),AF337-N(AG337)-X337,"")</f>
        <v/>
      </c>
      <c r="AJ337" s="20" t="str">
        <f aca="false">IF(AND(AI337&lt;&gt;"",N(AE337)&gt;0),AI337/AE337,"")</f>
        <v/>
      </c>
      <c r="AK337" s="20" t="str">
        <f aca="false">IF(AND(AI337&lt;&gt;"",N(X337)&gt;0),AI337/X337,"")</f>
        <v/>
      </c>
      <c r="AL337" s="21" t="str">
        <f aca="false">IF(AND(AC337="Sold",AD337&lt;&gt;"",Z337&lt;&gt;""),AD337-Z337,"")</f>
        <v/>
      </c>
      <c r="AM337" s="20" t="str">
        <f aca="false">IF(AND(AC337="Sold",N(AA337)&gt;0,AE337&lt;&gt;""),1-AE337/AA337,"")</f>
        <v/>
      </c>
      <c r="AN337" s="21" t="str">
        <f aca="true">IF(AND(AC337&lt;&gt;"Sold",AC337&lt;&gt;"",Z337&lt;&gt;""),TODAY()-Z337,"")</f>
        <v/>
      </c>
      <c r="AO337" s="4"/>
      <c r="AP337" s="4"/>
    </row>
    <row r="338" customFormat="false" ht="1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14"/>
      <c r="O338" s="15"/>
      <c r="P338" s="16"/>
      <c r="Q338" s="4"/>
      <c r="R338" s="17"/>
      <c r="S338" s="18" t="str">
        <f aca="false">IF(OR(P338="",R338=""),"",P338*R338)</f>
        <v/>
      </c>
      <c r="T338" s="14"/>
      <c r="U338" s="14"/>
      <c r="V338" s="14"/>
      <c r="W338" s="14"/>
      <c r="X338" s="18" t="str">
        <f aca="false">IF(S338="","",S338+N(T338)+N(U338)+N(V338)+N(W338))</f>
        <v/>
      </c>
      <c r="Y338" s="4"/>
      <c r="Z338" s="15"/>
      <c r="AA338" s="14"/>
      <c r="AB338" s="19"/>
      <c r="AC338" s="4"/>
      <c r="AD338" s="15"/>
      <c r="AE338" s="14"/>
      <c r="AF338" s="14"/>
      <c r="AG338" s="14"/>
      <c r="AH338" s="18" t="str">
        <f aca="false">IF(AND(AC338="Sold",AE338&lt;&gt;"",AF338&lt;&gt;""),AE338-AF338,"")</f>
        <v/>
      </c>
      <c r="AI338" s="18" t="str">
        <f aca="false">IF(AND(AC338="Sold",AF338&lt;&gt;"",X338&lt;&gt;""),AF338-N(AG338)-X338,"")</f>
        <v/>
      </c>
      <c r="AJ338" s="20" t="str">
        <f aca="false">IF(AND(AI338&lt;&gt;"",N(AE338)&gt;0),AI338/AE338,"")</f>
        <v/>
      </c>
      <c r="AK338" s="20" t="str">
        <f aca="false">IF(AND(AI338&lt;&gt;"",N(X338)&gt;0),AI338/X338,"")</f>
        <v/>
      </c>
      <c r="AL338" s="21" t="str">
        <f aca="false">IF(AND(AC338="Sold",AD338&lt;&gt;"",Z338&lt;&gt;""),AD338-Z338,"")</f>
        <v/>
      </c>
      <c r="AM338" s="20" t="str">
        <f aca="false">IF(AND(AC338="Sold",N(AA338)&gt;0,AE338&lt;&gt;""),1-AE338/AA338,"")</f>
        <v/>
      </c>
      <c r="AN338" s="21" t="str">
        <f aca="true">IF(AND(AC338&lt;&gt;"Sold",AC338&lt;&gt;"",Z338&lt;&gt;""),TODAY()-Z338,"")</f>
        <v/>
      </c>
      <c r="AO338" s="4"/>
      <c r="AP338" s="4"/>
    </row>
    <row r="339" customFormat="false" ht="1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14"/>
      <c r="O339" s="15"/>
      <c r="P339" s="16"/>
      <c r="Q339" s="4"/>
      <c r="R339" s="17"/>
      <c r="S339" s="18" t="str">
        <f aca="false">IF(OR(P339="",R339=""),"",P339*R339)</f>
        <v/>
      </c>
      <c r="T339" s="14"/>
      <c r="U339" s="14"/>
      <c r="V339" s="14"/>
      <c r="W339" s="14"/>
      <c r="X339" s="18" t="str">
        <f aca="false">IF(S339="","",S339+N(T339)+N(U339)+N(V339)+N(W339))</f>
        <v/>
      </c>
      <c r="Y339" s="4"/>
      <c r="Z339" s="15"/>
      <c r="AA339" s="14"/>
      <c r="AB339" s="19"/>
      <c r="AC339" s="4"/>
      <c r="AD339" s="15"/>
      <c r="AE339" s="14"/>
      <c r="AF339" s="14"/>
      <c r="AG339" s="14"/>
      <c r="AH339" s="18" t="str">
        <f aca="false">IF(AND(AC339="Sold",AE339&lt;&gt;"",AF339&lt;&gt;""),AE339-AF339,"")</f>
        <v/>
      </c>
      <c r="AI339" s="18" t="str">
        <f aca="false">IF(AND(AC339="Sold",AF339&lt;&gt;"",X339&lt;&gt;""),AF339-N(AG339)-X339,"")</f>
        <v/>
      </c>
      <c r="AJ339" s="20" t="str">
        <f aca="false">IF(AND(AI339&lt;&gt;"",N(AE339)&gt;0),AI339/AE339,"")</f>
        <v/>
      </c>
      <c r="AK339" s="20" t="str">
        <f aca="false">IF(AND(AI339&lt;&gt;"",N(X339)&gt;0),AI339/X339,"")</f>
        <v/>
      </c>
      <c r="AL339" s="21" t="str">
        <f aca="false">IF(AND(AC339="Sold",AD339&lt;&gt;"",Z339&lt;&gt;""),AD339-Z339,"")</f>
        <v/>
      </c>
      <c r="AM339" s="20" t="str">
        <f aca="false">IF(AND(AC339="Sold",N(AA339)&gt;0,AE339&lt;&gt;""),1-AE339/AA339,"")</f>
        <v/>
      </c>
      <c r="AN339" s="21" t="str">
        <f aca="true">IF(AND(AC339&lt;&gt;"Sold",AC339&lt;&gt;"",Z339&lt;&gt;""),TODAY()-Z339,"")</f>
        <v/>
      </c>
      <c r="AO339" s="4"/>
      <c r="AP339" s="4"/>
    </row>
    <row r="340" customFormat="false" ht="1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14"/>
      <c r="O340" s="15"/>
      <c r="P340" s="16"/>
      <c r="Q340" s="4"/>
      <c r="R340" s="17"/>
      <c r="S340" s="18" t="str">
        <f aca="false">IF(OR(P340="",R340=""),"",P340*R340)</f>
        <v/>
      </c>
      <c r="T340" s="14"/>
      <c r="U340" s="14"/>
      <c r="V340" s="14"/>
      <c r="W340" s="14"/>
      <c r="X340" s="18" t="str">
        <f aca="false">IF(S340="","",S340+N(T340)+N(U340)+N(V340)+N(W340))</f>
        <v/>
      </c>
      <c r="Y340" s="4"/>
      <c r="Z340" s="15"/>
      <c r="AA340" s="14"/>
      <c r="AB340" s="19"/>
      <c r="AC340" s="4"/>
      <c r="AD340" s="15"/>
      <c r="AE340" s="14"/>
      <c r="AF340" s="14"/>
      <c r="AG340" s="14"/>
      <c r="AH340" s="18" t="str">
        <f aca="false">IF(AND(AC340="Sold",AE340&lt;&gt;"",AF340&lt;&gt;""),AE340-AF340,"")</f>
        <v/>
      </c>
      <c r="AI340" s="18" t="str">
        <f aca="false">IF(AND(AC340="Sold",AF340&lt;&gt;"",X340&lt;&gt;""),AF340-N(AG340)-X340,"")</f>
        <v/>
      </c>
      <c r="AJ340" s="20" t="str">
        <f aca="false">IF(AND(AI340&lt;&gt;"",N(AE340)&gt;0),AI340/AE340,"")</f>
        <v/>
      </c>
      <c r="AK340" s="20" t="str">
        <f aca="false">IF(AND(AI340&lt;&gt;"",N(X340)&gt;0),AI340/X340,"")</f>
        <v/>
      </c>
      <c r="AL340" s="21" t="str">
        <f aca="false">IF(AND(AC340="Sold",AD340&lt;&gt;"",Z340&lt;&gt;""),AD340-Z340,"")</f>
        <v/>
      </c>
      <c r="AM340" s="20" t="str">
        <f aca="false">IF(AND(AC340="Sold",N(AA340)&gt;0,AE340&lt;&gt;""),1-AE340/AA340,"")</f>
        <v/>
      </c>
      <c r="AN340" s="21" t="str">
        <f aca="true">IF(AND(AC340&lt;&gt;"Sold",AC340&lt;&gt;"",Z340&lt;&gt;""),TODAY()-Z340,"")</f>
        <v/>
      </c>
      <c r="AO340" s="4"/>
      <c r="AP340" s="4"/>
    </row>
    <row r="341" customFormat="false" ht="1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14"/>
      <c r="O341" s="15"/>
      <c r="P341" s="16"/>
      <c r="Q341" s="4"/>
      <c r="R341" s="17"/>
      <c r="S341" s="18" t="str">
        <f aca="false">IF(OR(P341="",R341=""),"",P341*R341)</f>
        <v/>
      </c>
      <c r="T341" s="14"/>
      <c r="U341" s="14"/>
      <c r="V341" s="14"/>
      <c r="W341" s="14"/>
      <c r="X341" s="18" t="str">
        <f aca="false">IF(S341="","",S341+N(T341)+N(U341)+N(V341)+N(W341))</f>
        <v/>
      </c>
      <c r="Y341" s="4"/>
      <c r="Z341" s="15"/>
      <c r="AA341" s="14"/>
      <c r="AB341" s="19"/>
      <c r="AC341" s="4"/>
      <c r="AD341" s="15"/>
      <c r="AE341" s="14"/>
      <c r="AF341" s="14"/>
      <c r="AG341" s="14"/>
      <c r="AH341" s="18" t="str">
        <f aca="false">IF(AND(AC341="Sold",AE341&lt;&gt;"",AF341&lt;&gt;""),AE341-AF341,"")</f>
        <v/>
      </c>
      <c r="AI341" s="18" t="str">
        <f aca="false">IF(AND(AC341="Sold",AF341&lt;&gt;"",X341&lt;&gt;""),AF341-N(AG341)-X341,"")</f>
        <v/>
      </c>
      <c r="AJ341" s="20" t="str">
        <f aca="false">IF(AND(AI341&lt;&gt;"",N(AE341)&gt;0),AI341/AE341,"")</f>
        <v/>
      </c>
      <c r="AK341" s="20" t="str">
        <f aca="false">IF(AND(AI341&lt;&gt;"",N(X341)&gt;0),AI341/X341,"")</f>
        <v/>
      </c>
      <c r="AL341" s="21" t="str">
        <f aca="false">IF(AND(AC341="Sold",AD341&lt;&gt;"",Z341&lt;&gt;""),AD341-Z341,"")</f>
        <v/>
      </c>
      <c r="AM341" s="20" t="str">
        <f aca="false">IF(AND(AC341="Sold",N(AA341)&gt;0,AE341&lt;&gt;""),1-AE341/AA341,"")</f>
        <v/>
      </c>
      <c r="AN341" s="21" t="str">
        <f aca="true">IF(AND(AC341&lt;&gt;"Sold",AC341&lt;&gt;"",Z341&lt;&gt;""),TODAY()-Z341,"")</f>
        <v/>
      </c>
      <c r="AO341" s="4"/>
      <c r="AP341" s="4"/>
    </row>
    <row r="342" customFormat="false" ht="1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14"/>
      <c r="O342" s="15"/>
      <c r="P342" s="16"/>
      <c r="Q342" s="4"/>
      <c r="R342" s="17"/>
      <c r="S342" s="18" t="str">
        <f aca="false">IF(OR(P342="",R342=""),"",P342*R342)</f>
        <v/>
      </c>
      <c r="T342" s="14"/>
      <c r="U342" s="14"/>
      <c r="V342" s="14"/>
      <c r="W342" s="14"/>
      <c r="X342" s="18" t="str">
        <f aca="false">IF(S342="","",S342+N(T342)+N(U342)+N(V342)+N(W342))</f>
        <v/>
      </c>
      <c r="Y342" s="4"/>
      <c r="Z342" s="15"/>
      <c r="AA342" s="14"/>
      <c r="AB342" s="19"/>
      <c r="AC342" s="4"/>
      <c r="AD342" s="15"/>
      <c r="AE342" s="14"/>
      <c r="AF342" s="14"/>
      <c r="AG342" s="14"/>
      <c r="AH342" s="18" t="str">
        <f aca="false">IF(AND(AC342="Sold",AE342&lt;&gt;"",AF342&lt;&gt;""),AE342-AF342,"")</f>
        <v/>
      </c>
      <c r="AI342" s="18" t="str">
        <f aca="false">IF(AND(AC342="Sold",AF342&lt;&gt;"",X342&lt;&gt;""),AF342-N(AG342)-X342,"")</f>
        <v/>
      </c>
      <c r="AJ342" s="20" t="str">
        <f aca="false">IF(AND(AI342&lt;&gt;"",N(AE342)&gt;0),AI342/AE342,"")</f>
        <v/>
      </c>
      <c r="AK342" s="20" t="str">
        <f aca="false">IF(AND(AI342&lt;&gt;"",N(X342)&gt;0),AI342/X342,"")</f>
        <v/>
      </c>
      <c r="AL342" s="21" t="str">
        <f aca="false">IF(AND(AC342="Sold",AD342&lt;&gt;"",Z342&lt;&gt;""),AD342-Z342,"")</f>
        <v/>
      </c>
      <c r="AM342" s="20" t="str">
        <f aca="false">IF(AND(AC342="Sold",N(AA342)&gt;0,AE342&lt;&gt;""),1-AE342/AA342,"")</f>
        <v/>
      </c>
      <c r="AN342" s="21" t="str">
        <f aca="true">IF(AND(AC342&lt;&gt;"Sold",AC342&lt;&gt;"",Z342&lt;&gt;""),TODAY()-Z342,"")</f>
        <v/>
      </c>
      <c r="AO342" s="4"/>
      <c r="AP342" s="4"/>
    </row>
    <row r="343" customFormat="false" ht="1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14"/>
      <c r="O343" s="15"/>
      <c r="P343" s="16"/>
      <c r="Q343" s="4"/>
      <c r="R343" s="17"/>
      <c r="S343" s="18" t="str">
        <f aca="false">IF(OR(P343="",R343=""),"",P343*R343)</f>
        <v/>
      </c>
      <c r="T343" s="14"/>
      <c r="U343" s="14"/>
      <c r="V343" s="14"/>
      <c r="W343" s="14"/>
      <c r="X343" s="18" t="str">
        <f aca="false">IF(S343="","",S343+N(T343)+N(U343)+N(V343)+N(W343))</f>
        <v/>
      </c>
      <c r="Y343" s="4"/>
      <c r="Z343" s="15"/>
      <c r="AA343" s="14"/>
      <c r="AB343" s="19"/>
      <c r="AC343" s="4"/>
      <c r="AD343" s="15"/>
      <c r="AE343" s="14"/>
      <c r="AF343" s="14"/>
      <c r="AG343" s="14"/>
      <c r="AH343" s="18" t="str">
        <f aca="false">IF(AND(AC343="Sold",AE343&lt;&gt;"",AF343&lt;&gt;""),AE343-AF343,"")</f>
        <v/>
      </c>
      <c r="AI343" s="18" t="str">
        <f aca="false">IF(AND(AC343="Sold",AF343&lt;&gt;"",X343&lt;&gt;""),AF343-N(AG343)-X343,"")</f>
        <v/>
      </c>
      <c r="AJ343" s="20" t="str">
        <f aca="false">IF(AND(AI343&lt;&gt;"",N(AE343)&gt;0),AI343/AE343,"")</f>
        <v/>
      </c>
      <c r="AK343" s="20" t="str">
        <f aca="false">IF(AND(AI343&lt;&gt;"",N(X343)&gt;0),AI343/X343,"")</f>
        <v/>
      </c>
      <c r="AL343" s="21" t="str">
        <f aca="false">IF(AND(AC343="Sold",AD343&lt;&gt;"",Z343&lt;&gt;""),AD343-Z343,"")</f>
        <v/>
      </c>
      <c r="AM343" s="20" t="str">
        <f aca="false">IF(AND(AC343="Sold",N(AA343)&gt;0,AE343&lt;&gt;""),1-AE343/AA343,"")</f>
        <v/>
      </c>
      <c r="AN343" s="21" t="str">
        <f aca="true">IF(AND(AC343&lt;&gt;"Sold",AC343&lt;&gt;"",Z343&lt;&gt;""),TODAY()-Z343,"")</f>
        <v/>
      </c>
      <c r="AO343" s="4"/>
      <c r="AP343" s="4"/>
    </row>
    <row r="344" customFormat="false" ht="1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14"/>
      <c r="O344" s="15"/>
      <c r="P344" s="16"/>
      <c r="Q344" s="4"/>
      <c r="R344" s="17"/>
      <c r="S344" s="18" t="str">
        <f aca="false">IF(OR(P344="",R344=""),"",P344*R344)</f>
        <v/>
      </c>
      <c r="T344" s="14"/>
      <c r="U344" s="14"/>
      <c r="V344" s="14"/>
      <c r="W344" s="14"/>
      <c r="X344" s="18" t="str">
        <f aca="false">IF(S344="","",S344+N(T344)+N(U344)+N(V344)+N(W344))</f>
        <v/>
      </c>
      <c r="Y344" s="4"/>
      <c r="Z344" s="15"/>
      <c r="AA344" s="14"/>
      <c r="AB344" s="19"/>
      <c r="AC344" s="4"/>
      <c r="AD344" s="15"/>
      <c r="AE344" s="14"/>
      <c r="AF344" s="14"/>
      <c r="AG344" s="14"/>
      <c r="AH344" s="18" t="str">
        <f aca="false">IF(AND(AC344="Sold",AE344&lt;&gt;"",AF344&lt;&gt;""),AE344-AF344,"")</f>
        <v/>
      </c>
      <c r="AI344" s="18" t="str">
        <f aca="false">IF(AND(AC344="Sold",AF344&lt;&gt;"",X344&lt;&gt;""),AF344-N(AG344)-X344,"")</f>
        <v/>
      </c>
      <c r="AJ344" s="20" t="str">
        <f aca="false">IF(AND(AI344&lt;&gt;"",N(AE344)&gt;0),AI344/AE344,"")</f>
        <v/>
      </c>
      <c r="AK344" s="20" t="str">
        <f aca="false">IF(AND(AI344&lt;&gt;"",N(X344)&gt;0),AI344/X344,"")</f>
        <v/>
      </c>
      <c r="AL344" s="21" t="str">
        <f aca="false">IF(AND(AC344="Sold",AD344&lt;&gt;"",Z344&lt;&gt;""),AD344-Z344,"")</f>
        <v/>
      </c>
      <c r="AM344" s="20" t="str">
        <f aca="false">IF(AND(AC344="Sold",N(AA344)&gt;0,AE344&lt;&gt;""),1-AE344/AA344,"")</f>
        <v/>
      </c>
      <c r="AN344" s="21" t="str">
        <f aca="true">IF(AND(AC344&lt;&gt;"Sold",AC344&lt;&gt;"",Z344&lt;&gt;""),TODAY()-Z344,"")</f>
        <v/>
      </c>
      <c r="AO344" s="4"/>
      <c r="AP344" s="4"/>
    </row>
    <row r="345" customFormat="false" ht="1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14"/>
      <c r="O345" s="15"/>
      <c r="P345" s="16"/>
      <c r="Q345" s="4"/>
      <c r="R345" s="17"/>
      <c r="S345" s="18" t="str">
        <f aca="false">IF(OR(P345="",R345=""),"",P345*R345)</f>
        <v/>
      </c>
      <c r="T345" s="14"/>
      <c r="U345" s="14"/>
      <c r="V345" s="14"/>
      <c r="W345" s="14"/>
      <c r="X345" s="18" t="str">
        <f aca="false">IF(S345="","",S345+N(T345)+N(U345)+N(V345)+N(W345))</f>
        <v/>
      </c>
      <c r="Y345" s="4"/>
      <c r="Z345" s="15"/>
      <c r="AA345" s="14"/>
      <c r="AB345" s="19"/>
      <c r="AC345" s="4"/>
      <c r="AD345" s="15"/>
      <c r="AE345" s="14"/>
      <c r="AF345" s="14"/>
      <c r="AG345" s="14"/>
      <c r="AH345" s="18" t="str">
        <f aca="false">IF(AND(AC345="Sold",AE345&lt;&gt;"",AF345&lt;&gt;""),AE345-AF345,"")</f>
        <v/>
      </c>
      <c r="AI345" s="18" t="str">
        <f aca="false">IF(AND(AC345="Sold",AF345&lt;&gt;"",X345&lt;&gt;""),AF345-N(AG345)-X345,"")</f>
        <v/>
      </c>
      <c r="AJ345" s="20" t="str">
        <f aca="false">IF(AND(AI345&lt;&gt;"",N(AE345)&gt;0),AI345/AE345,"")</f>
        <v/>
      </c>
      <c r="AK345" s="20" t="str">
        <f aca="false">IF(AND(AI345&lt;&gt;"",N(X345)&gt;0),AI345/X345,"")</f>
        <v/>
      </c>
      <c r="AL345" s="21" t="str">
        <f aca="false">IF(AND(AC345="Sold",AD345&lt;&gt;"",Z345&lt;&gt;""),AD345-Z345,"")</f>
        <v/>
      </c>
      <c r="AM345" s="20" t="str">
        <f aca="false">IF(AND(AC345="Sold",N(AA345)&gt;0,AE345&lt;&gt;""),1-AE345/AA345,"")</f>
        <v/>
      </c>
      <c r="AN345" s="21" t="str">
        <f aca="true">IF(AND(AC345&lt;&gt;"Sold",AC345&lt;&gt;"",Z345&lt;&gt;""),TODAY()-Z345,"")</f>
        <v/>
      </c>
      <c r="AO345" s="4"/>
      <c r="AP345" s="4"/>
    </row>
    <row r="346" customFormat="false" ht="1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14"/>
      <c r="O346" s="15"/>
      <c r="P346" s="16"/>
      <c r="Q346" s="4"/>
      <c r="R346" s="17"/>
      <c r="S346" s="18" t="str">
        <f aca="false">IF(OR(P346="",R346=""),"",P346*R346)</f>
        <v/>
      </c>
      <c r="T346" s="14"/>
      <c r="U346" s="14"/>
      <c r="V346" s="14"/>
      <c r="W346" s="14"/>
      <c r="X346" s="18" t="str">
        <f aca="false">IF(S346="","",S346+N(T346)+N(U346)+N(V346)+N(W346))</f>
        <v/>
      </c>
      <c r="Y346" s="4"/>
      <c r="Z346" s="15"/>
      <c r="AA346" s="14"/>
      <c r="AB346" s="19"/>
      <c r="AC346" s="4"/>
      <c r="AD346" s="15"/>
      <c r="AE346" s="14"/>
      <c r="AF346" s="14"/>
      <c r="AG346" s="14"/>
      <c r="AH346" s="18" t="str">
        <f aca="false">IF(AND(AC346="Sold",AE346&lt;&gt;"",AF346&lt;&gt;""),AE346-AF346,"")</f>
        <v/>
      </c>
      <c r="AI346" s="18" t="str">
        <f aca="false">IF(AND(AC346="Sold",AF346&lt;&gt;"",X346&lt;&gt;""),AF346-N(AG346)-X346,"")</f>
        <v/>
      </c>
      <c r="AJ346" s="20" t="str">
        <f aca="false">IF(AND(AI346&lt;&gt;"",N(AE346)&gt;0),AI346/AE346,"")</f>
        <v/>
      </c>
      <c r="AK346" s="20" t="str">
        <f aca="false">IF(AND(AI346&lt;&gt;"",N(X346)&gt;0),AI346/X346,"")</f>
        <v/>
      </c>
      <c r="AL346" s="21" t="str">
        <f aca="false">IF(AND(AC346="Sold",AD346&lt;&gt;"",Z346&lt;&gt;""),AD346-Z346,"")</f>
        <v/>
      </c>
      <c r="AM346" s="20" t="str">
        <f aca="false">IF(AND(AC346="Sold",N(AA346)&gt;0,AE346&lt;&gt;""),1-AE346/AA346,"")</f>
        <v/>
      </c>
      <c r="AN346" s="21" t="str">
        <f aca="true">IF(AND(AC346&lt;&gt;"Sold",AC346&lt;&gt;"",Z346&lt;&gt;""),TODAY()-Z346,"")</f>
        <v/>
      </c>
      <c r="AO346" s="4"/>
      <c r="AP346" s="4"/>
    </row>
    <row r="347" customFormat="false" ht="1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14"/>
      <c r="O347" s="15"/>
      <c r="P347" s="16"/>
      <c r="Q347" s="4"/>
      <c r="R347" s="17"/>
      <c r="S347" s="18" t="str">
        <f aca="false">IF(OR(P347="",R347=""),"",P347*R347)</f>
        <v/>
      </c>
      <c r="T347" s="14"/>
      <c r="U347" s="14"/>
      <c r="V347" s="14"/>
      <c r="W347" s="14"/>
      <c r="X347" s="18" t="str">
        <f aca="false">IF(S347="","",S347+N(T347)+N(U347)+N(V347)+N(W347))</f>
        <v/>
      </c>
      <c r="Y347" s="4"/>
      <c r="Z347" s="15"/>
      <c r="AA347" s="14"/>
      <c r="AB347" s="19"/>
      <c r="AC347" s="4"/>
      <c r="AD347" s="15"/>
      <c r="AE347" s="14"/>
      <c r="AF347" s="14"/>
      <c r="AG347" s="14"/>
      <c r="AH347" s="18" t="str">
        <f aca="false">IF(AND(AC347="Sold",AE347&lt;&gt;"",AF347&lt;&gt;""),AE347-AF347,"")</f>
        <v/>
      </c>
      <c r="AI347" s="18" t="str">
        <f aca="false">IF(AND(AC347="Sold",AF347&lt;&gt;"",X347&lt;&gt;""),AF347-N(AG347)-X347,"")</f>
        <v/>
      </c>
      <c r="AJ347" s="20" t="str">
        <f aca="false">IF(AND(AI347&lt;&gt;"",N(AE347)&gt;0),AI347/AE347,"")</f>
        <v/>
      </c>
      <c r="AK347" s="20" t="str">
        <f aca="false">IF(AND(AI347&lt;&gt;"",N(X347)&gt;0),AI347/X347,"")</f>
        <v/>
      </c>
      <c r="AL347" s="21" t="str">
        <f aca="false">IF(AND(AC347="Sold",AD347&lt;&gt;"",Z347&lt;&gt;""),AD347-Z347,"")</f>
        <v/>
      </c>
      <c r="AM347" s="20" t="str">
        <f aca="false">IF(AND(AC347="Sold",N(AA347)&gt;0,AE347&lt;&gt;""),1-AE347/AA347,"")</f>
        <v/>
      </c>
      <c r="AN347" s="21" t="str">
        <f aca="true">IF(AND(AC347&lt;&gt;"Sold",AC347&lt;&gt;"",Z347&lt;&gt;""),TODAY()-Z347,"")</f>
        <v/>
      </c>
      <c r="AO347" s="4"/>
      <c r="AP347" s="4"/>
    </row>
    <row r="348" customFormat="false" ht="1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14"/>
      <c r="O348" s="15"/>
      <c r="P348" s="16"/>
      <c r="Q348" s="4"/>
      <c r="R348" s="17"/>
      <c r="S348" s="18" t="str">
        <f aca="false">IF(OR(P348="",R348=""),"",P348*R348)</f>
        <v/>
      </c>
      <c r="T348" s="14"/>
      <c r="U348" s="14"/>
      <c r="V348" s="14"/>
      <c r="W348" s="14"/>
      <c r="X348" s="18" t="str">
        <f aca="false">IF(S348="","",S348+N(T348)+N(U348)+N(V348)+N(W348))</f>
        <v/>
      </c>
      <c r="Y348" s="4"/>
      <c r="Z348" s="15"/>
      <c r="AA348" s="14"/>
      <c r="AB348" s="19"/>
      <c r="AC348" s="4"/>
      <c r="AD348" s="15"/>
      <c r="AE348" s="14"/>
      <c r="AF348" s="14"/>
      <c r="AG348" s="14"/>
      <c r="AH348" s="18" t="str">
        <f aca="false">IF(AND(AC348="Sold",AE348&lt;&gt;"",AF348&lt;&gt;""),AE348-AF348,"")</f>
        <v/>
      </c>
      <c r="AI348" s="18" t="str">
        <f aca="false">IF(AND(AC348="Sold",AF348&lt;&gt;"",X348&lt;&gt;""),AF348-N(AG348)-X348,"")</f>
        <v/>
      </c>
      <c r="AJ348" s="20" t="str">
        <f aca="false">IF(AND(AI348&lt;&gt;"",N(AE348)&gt;0),AI348/AE348,"")</f>
        <v/>
      </c>
      <c r="AK348" s="20" t="str">
        <f aca="false">IF(AND(AI348&lt;&gt;"",N(X348)&gt;0),AI348/X348,"")</f>
        <v/>
      </c>
      <c r="AL348" s="21" t="str">
        <f aca="false">IF(AND(AC348="Sold",AD348&lt;&gt;"",Z348&lt;&gt;""),AD348-Z348,"")</f>
        <v/>
      </c>
      <c r="AM348" s="20" t="str">
        <f aca="false">IF(AND(AC348="Sold",N(AA348)&gt;0,AE348&lt;&gt;""),1-AE348/AA348,"")</f>
        <v/>
      </c>
      <c r="AN348" s="21" t="str">
        <f aca="true">IF(AND(AC348&lt;&gt;"Sold",AC348&lt;&gt;"",Z348&lt;&gt;""),TODAY()-Z348,"")</f>
        <v/>
      </c>
      <c r="AO348" s="4"/>
      <c r="AP348" s="4"/>
    </row>
    <row r="349" customFormat="false" ht="1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14"/>
      <c r="O349" s="15"/>
      <c r="P349" s="16"/>
      <c r="Q349" s="4"/>
      <c r="R349" s="17"/>
      <c r="S349" s="18" t="str">
        <f aca="false">IF(OR(P349="",R349=""),"",P349*R349)</f>
        <v/>
      </c>
      <c r="T349" s="14"/>
      <c r="U349" s="14"/>
      <c r="V349" s="14"/>
      <c r="W349" s="14"/>
      <c r="X349" s="18" t="str">
        <f aca="false">IF(S349="","",S349+N(T349)+N(U349)+N(V349)+N(W349))</f>
        <v/>
      </c>
      <c r="Y349" s="4"/>
      <c r="Z349" s="15"/>
      <c r="AA349" s="14"/>
      <c r="AB349" s="19"/>
      <c r="AC349" s="4"/>
      <c r="AD349" s="15"/>
      <c r="AE349" s="14"/>
      <c r="AF349" s="14"/>
      <c r="AG349" s="14"/>
      <c r="AH349" s="18" t="str">
        <f aca="false">IF(AND(AC349="Sold",AE349&lt;&gt;"",AF349&lt;&gt;""),AE349-AF349,"")</f>
        <v/>
      </c>
      <c r="AI349" s="18" t="str">
        <f aca="false">IF(AND(AC349="Sold",AF349&lt;&gt;"",X349&lt;&gt;""),AF349-N(AG349)-X349,"")</f>
        <v/>
      </c>
      <c r="AJ349" s="20" t="str">
        <f aca="false">IF(AND(AI349&lt;&gt;"",N(AE349)&gt;0),AI349/AE349,"")</f>
        <v/>
      </c>
      <c r="AK349" s="20" t="str">
        <f aca="false">IF(AND(AI349&lt;&gt;"",N(X349)&gt;0),AI349/X349,"")</f>
        <v/>
      </c>
      <c r="AL349" s="21" t="str">
        <f aca="false">IF(AND(AC349="Sold",AD349&lt;&gt;"",Z349&lt;&gt;""),AD349-Z349,"")</f>
        <v/>
      </c>
      <c r="AM349" s="20" t="str">
        <f aca="false">IF(AND(AC349="Sold",N(AA349)&gt;0,AE349&lt;&gt;""),1-AE349/AA349,"")</f>
        <v/>
      </c>
      <c r="AN349" s="21" t="str">
        <f aca="true">IF(AND(AC349&lt;&gt;"Sold",AC349&lt;&gt;"",Z349&lt;&gt;""),TODAY()-Z349,"")</f>
        <v/>
      </c>
      <c r="AO349" s="4"/>
      <c r="AP349" s="4"/>
    </row>
    <row r="350" customFormat="false" ht="1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14"/>
      <c r="O350" s="15"/>
      <c r="P350" s="16"/>
      <c r="Q350" s="4"/>
      <c r="R350" s="17"/>
      <c r="S350" s="18" t="str">
        <f aca="false">IF(OR(P350="",R350=""),"",P350*R350)</f>
        <v/>
      </c>
      <c r="T350" s="14"/>
      <c r="U350" s="14"/>
      <c r="V350" s="14"/>
      <c r="W350" s="14"/>
      <c r="X350" s="18" t="str">
        <f aca="false">IF(S350="","",S350+N(T350)+N(U350)+N(V350)+N(W350))</f>
        <v/>
      </c>
      <c r="Y350" s="4"/>
      <c r="Z350" s="15"/>
      <c r="AA350" s="14"/>
      <c r="AB350" s="19"/>
      <c r="AC350" s="4"/>
      <c r="AD350" s="15"/>
      <c r="AE350" s="14"/>
      <c r="AF350" s="14"/>
      <c r="AG350" s="14"/>
      <c r="AH350" s="18" t="str">
        <f aca="false">IF(AND(AC350="Sold",AE350&lt;&gt;"",AF350&lt;&gt;""),AE350-AF350,"")</f>
        <v/>
      </c>
      <c r="AI350" s="18" t="str">
        <f aca="false">IF(AND(AC350="Sold",AF350&lt;&gt;"",X350&lt;&gt;""),AF350-N(AG350)-X350,"")</f>
        <v/>
      </c>
      <c r="AJ350" s="20" t="str">
        <f aca="false">IF(AND(AI350&lt;&gt;"",N(AE350)&gt;0),AI350/AE350,"")</f>
        <v/>
      </c>
      <c r="AK350" s="20" t="str">
        <f aca="false">IF(AND(AI350&lt;&gt;"",N(X350)&gt;0),AI350/X350,"")</f>
        <v/>
      </c>
      <c r="AL350" s="21" t="str">
        <f aca="false">IF(AND(AC350="Sold",AD350&lt;&gt;"",Z350&lt;&gt;""),AD350-Z350,"")</f>
        <v/>
      </c>
      <c r="AM350" s="20" t="str">
        <f aca="false">IF(AND(AC350="Sold",N(AA350)&gt;0,AE350&lt;&gt;""),1-AE350/AA350,"")</f>
        <v/>
      </c>
      <c r="AN350" s="21" t="str">
        <f aca="true">IF(AND(AC350&lt;&gt;"Sold",AC350&lt;&gt;"",Z350&lt;&gt;""),TODAY()-Z350,"")</f>
        <v/>
      </c>
      <c r="AO350" s="4"/>
      <c r="AP350" s="4"/>
    </row>
    <row r="351" customFormat="false" ht="1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14"/>
      <c r="O351" s="15"/>
      <c r="P351" s="16"/>
      <c r="Q351" s="4"/>
      <c r="R351" s="17"/>
      <c r="S351" s="18" t="str">
        <f aca="false">IF(OR(P351="",R351=""),"",P351*R351)</f>
        <v/>
      </c>
      <c r="T351" s="14"/>
      <c r="U351" s="14"/>
      <c r="V351" s="14"/>
      <c r="W351" s="14"/>
      <c r="X351" s="18" t="str">
        <f aca="false">IF(S351="","",S351+N(T351)+N(U351)+N(V351)+N(W351))</f>
        <v/>
      </c>
      <c r="Y351" s="4"/>
      <c r="Z351" s="15"/>
      <c r="AA351" s="14"/>
      <c r="AB351" s="19"/>
      <c r="AC351" s="4"/>
      <c r="AD351" s="15"/>
      <c r="AE351" s="14"/>
      <c r="AF351" s="14"/>
      <c r="AG351" s="14"/>
      <c r="AH351" s="18" t="str">
        <f aca="false">IF(AND(AC351="Sold",AE351&lt;&gt;"",AF351&lt;&gt;""),AE351-AF351,"")</f>
        <v/>
      </c>
      <c r="AI351" s="18" t="str">
        <f aca="false">IF(AND(AC351="Sold",AF351&lt;&gt;"",X351&lt;&gt;""),AF351-N(AG351)-X351,"")</f>
        <v/>
      </c>
      <c r="AJ351" s="20" t="str">
        <f aca="false">IF(AND(AI351&lt;&gt;"",N(AE351)&gt;0),AI351/AE351,"")</f>
        <v/>
      </c>
      <c r="AK351" s="20" t="str">
        <f aca="false">IF(AND(AI351&lt;&gt;"",N(X351)&gt;0),AI351/X351,"")</f>
        <v/>
      </c>
      <c r="AL351" s="21" t="str">
        <f aca="false">IF(AND(AC351="Sold",AD351&lt;&gt;"",Z351&lt;&gt;""),AD351-Z351,"")</f>
        <v/>
      </c>
      <c r="AM351" s="20" t="str">
        <f aca="false">IF(AND(AC351="Sold",N(AA351)&gt;0,AE351&lt;&gt;""),1-AE351/AA351,"")</f>
        <v/>
      </c>
      <c r="AN351" s="21" t="str">
        <f aca="true">IF(AND(AC351&lt;&gt;"Sold",AC351&lt;&gt;"",Z351&lt;&gt;""),TODAY()-Z351,"")</f>
        <v/>
      </c>
      <c r="AO351" s="4"/>
      <c r="AP351" s="4"/>
    </row>
    <row r="352" customFormat="false" ht="1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14"/>
      <c r="O352" s="15"/>
      <c r="P352" s="16"/>
      <c r="Q352" s="4"/>
      <c r="R352" s="17"/>
      <c r="S352" s="18" t="str">
        <f aca="false">IF(OR(P352="",R352=""),"",P352*R352)</f>
        <v/>
      </c>
      <c r="T352" s="14"/>
      <c r="U352" s="14"/>
      <c r="V352" s="14"/>
      <c r="W352" s="14"/>
      <c r="X352" s="18" t="str">
        <f aca="false">IF(S352="","",S352+N(T352)+N(U352)+N(V352)+N(W352))</f>
        <v/>
      </c>
      <c r="Y352" s="4"/>
      <c r="Z352" s="15"/>
      <c r="AA352" s="14"/>
      <c r="AB352" s="19"/>
      <c r="AC352" s="4"/>
      <c r="AD352" s="15"/>
      <c r="AE352" s="14"/>
      <c r="AF352" s="14"/>
      <c r="AG352" s="14"/>
      <c r="AH352" s="18" t="str">
        <f aca="false">IF(AND(AC352="Sold",AE352&lt;&gt;"",AF352&lt;&gt;""),AE352-AF352,"")</f>
        <v/>
      </c>
      <c r="AI352" s="18" t="str">
        <f aca="false">IF(AND(AC352="Sold",AF352&lt;&gt;"",X352&lt;&gt;""),AF352-N(AG352)-X352,"")</f>
        <v/>
      </c>
      <c r="AJ352" s="20" t="str">
        <f aca="false">IF(AND(AI352&lt;&gt;"",N(AE352)&gt;0),AI352/AE352,"")</f>
        <v/>
      </c>
      <c r="AK352" s="20" t="str">
        <f aca="false">IF(AND(AI352&lt;&gt;"",N(X352)&gt;0),AI352/X352,"")</f>
        <v/>
      </c>
      <c r="AL352" s="21" t="str">
        <f aca="false">IF(AND(AC352="Sold",AD352&lt;&gt;"",Z352&lt;&gt;""),AD352-Z352,"")</f>
        <v/>
      </c>
      <c r="AM352" s="20" t="str">
        <f aca="false">IF(AND(AC352="Sold",N(AA352)&gt;0,AE352&lt;&gt;""),1-AE352/AA352,"")</f>
        <v/>
      </c>
      <c r="AN352" s="21" t="str">
        <f aca="true">IF(AND(AC352&lt;&gt;"Sold",AC352&lt;&gt;"",Z352&lt;&gt;""),TODAY()-Z352,"")</f>
        <v/>
      </c>
      <c r="AO352" s="4"/>
      <c r="AP352" s="4"/>
    </row>
    <row r="353" customFormat="false" ht="1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14"/>
      <c r="O353" s="15"/>
      <c r="P353" s="16"/>
      <c r="Q353" s="4"/>
      <c r="R353" s="17"/>
      <c r="S353" s="18" t="str">
        <f aca="false">IF(OR(P353="",R353=""),"",P353*R353)</f>
        <v/>
      </c>
      <c r="T353" s="14"/>
      <c r="U353" s="14"/>
      <c r="V353" s="14"/>
      <c r="W353" s="14"/>
      <c r="X353" s="18" t="str">
        <f aca="false">IF(S353="","",S353+N(T353)+N(U353)+N(V353)+N(W353))</f>
        <v/>
      </c>
      <c r="Y353" s="4"/>
      <c r="Z353" s="15"/>
      <c r="AA353" s="14"/>
      <c r="AB353" s="19"/>
      <c r="AC353" s="4"/>
      <c r="AD353" s="15"/>
      <c r="AE353" s="14"/>
      <c r="AF353" s="14"/>
      <c r="AG353" s="14"/>
      <c r="AH353" s="18" t="str">
        <f aca="false">IF(AND(AC353="Sold",AE353&lt;&gt;"",AF353&lt;&gt;""),AE353-AF353,"")</f>
        <v/>
      </c>
      <c r="AI353" s="18" t="str">
        <f aca="false">IF(AND(AC353="Sold",AF353&lt;&gt;"",X353&lt;&gt;""),AF353-N(AG353)-X353,"")</f>
        <v/>
      </c>
      <c r="AJ353" s="20" t="str">
        <f aca="false">IF(AND(AI353&lt;&gt;"",N(AE353)&gt;0),AI353/AE353,"")</f>
        <v/>
      </c>
      <c r="AK353" s="20" t="str">
        <f aca="false">IF(AND(AI353&lt;&gt;"",N(X353)&gt;0),AI353/X353,"")</f>
        <v/>
      </c>
      <c r="AL353" s="21" t="str">
        <f aca="false">IF(AND(AC353="Sold",AD353&lt;&gt;"",Z353&lt;&gt;""),AD353-Z353,"")</f>
        <v/>
      </c>
      <c r="AM353" s="20" t="str">
        <f aca="false">IF(AND(AC353="Sold",N(AA353)&gt;0,AE353&lt;&gt;""),1-AE353/AA353,"")</f>
        <v/>
      </c>
      <c r="AN353" s="21" t="str">
        <f aca="true">IF(AND(AC353&lt;&gt;"Sold",AC353&lt;&gt;"",Z353&lt;&gt;""),TODAY()-Z353,"")</f>
        <v/>
      </c>
      <c r="AO353" s="4"/>
      <c r="AP353" s="4"/>
    </row>
    <row r="354" customFormat="false" ht="1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14"/>
      <c r="O354" s="15"/>
      <c r="P354" s="16"/>
      <c r="Q354" s="4"/>
      <c r="R354" s="17"/>
      <c r="S354" s="18" t="str">
        <f aca="false">IF(OR(P354="",R354=""),"",P354*R354)</f>
        <v/>
      </c>
      <c r="T354" s="14"/>
      <c r="U354" s="14"/>
      <c r="V354" s="14"/>
      <c r="W354" s="14"/>
      <c r="X354" s="18" t="str">
        <f aca="false">IF(S354="","",S354+N(T354)+N(U354)+N(V354)+N(W354))</f>
        <v/>
      </c>
      <c r="Y354" s="4"/>
      <c r="Z354" s="15"/>
      <c r="AA354" s="14"/>
      <c r="AB354" s="19"/>
      <c r="AC354" s="4"/>
      <c r="AD354" s="15"/>
      <c r="AE354" s="14"/>
      <c r="AF354" s="14"/>
      <c r="AG354" s="14"/>
      <c r="AH354" s="18" t="str">
        <f aca="false">IF(AND(AC354="Sold",AE354&lt;&gt;"",AF354&lt;&gt;""),AE354-AF354,"")</f>
        <v/>
      </c>
      <c r="AI354" s="18" t="str">
        <f aca="false">IF(AND(AC354="Sold",AF354&lt;&gt;"",X354&lt;&gt;""),AF354-N(AG354)-X354,"")</f>
        <v/>
      </c>
      <c r="AJ354" s="20" t="str">
        <f aca="false">IF(AND(AI354&lt;&gt;"",N(AE354)&gt;0),AI354/AE354,"")</f>
        <v/>
      </c>
      <c r="AK354" s="20" t="str">
        <f aca="false">IF(AND(AI354&lt;&gt;"",N(X354)&gt;0),AI354/X354,"")</f>
        <v/>
      </c>
      <c r="AL354" s="21" t="str">
        <f aca="false">IF(AND(AC354="Sold",AD354&lt;&gt;"",Z354&lt;&gt;""),AD354-Z354,"")</f>
        <v/>
      </c>
      <c r="AM354" s="20" t="str">
        <f aca="false">IF(AND(AC354="Sold",N(AA354)&gt;0,AE354&lt;&gt;""),1-AE354/AA354,"")</f>
        <v/>
      </c>
      <c r="AN354" s="21" t="str">
        <f aca="true">IF(AND(AC354&lt;&gt;"Sold",AC354&lt;&gt;"",Z354&lt;&gt;""),TODAY()-Z354,"")</f>
        <v/>
      </c>
      <c r="AO354" s="4"/>
      <c r="AP354" s="4"/>
    </row>
    <row r="355" customFormat="false" ht="1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14"/>
      <c r="O355" s="15"/>
      <c r="P355" s="16"/>
      <c r="Q355" s="4"/>
      <c r="R355" s="17"/>
      <c r="S355" s="18" t="str">
        <f aca="false">IF(OR(P355="",R355=""),"",P355*R355)</f>
        <v/>
      </c>
      <c r="T355" s="14"/>
      <c r="U355" s="14"/>
      <c r="V355" s="14"/>
      <c r="W355" s="14"/>
      <c r="X355" s="18" t="str">
        <f aca="false">IF(S355="","",S355+N(T355)+N(U355)+N(V355)+N(W355))</f>
        <v/>
      </c>
      <c r="Y355" s="4"/>
      <c r="Z355" s="15"/>
      <c r="AA355" s="14"/>
      <c r="AB355" s="19"/>
      <c r="AC355" s="4"/>
      <c r="AD355" s="15"/>
      <c r="AE355" s="14"/>
      <c r="AF355" s="14"/>
      <c r="AG355" s="14"/>
      <c r="AH355" s="18" t="str">
        <f aca="false">IF(AND(AC355="Sold",AE355&lt;&gt;"",AF355&lt;&gt;""),AE355-AF355,"")</f>
        <v/>
      </c>
      <c r="AI355" s="18" t="str">
        <f aca="false">IF(AND(AC355="Sold",AF355&lt;&gt;"",X355&lt;&gt;""),AF355-N(AG355)-X355,"")</f>
        <v/>
      </c>
      <c r="AJ355" s="20" t="str">
        <f aca="false">IF(AND(AI355&lt;&gt;"",N(AE355)&gt;0),AI355/AE355,"")</f>
        <v/>
      </c>
      <c r="AK355" s="20" t="str">
        <f aca="false">IF(AND(AI355&lt;&gt;"",N(X355)&gt;0),AI355/X355,"")</f>
        <v/>
      </c>
      <c r="AL355" s="21" t="str">
        <f aca="false">IF(AND(AC355="Sold",AD355&lt;&gt;"",Z355&lt;&gt;""),AD355-Z355,"")</f>
        <v/>
      </c>
      <c r="AM355" s="20" t="str">
        <f aca="false">IF(AND(AC355="Sold",N(AA355)&gt;0,AE355&lt;&gt;""),1-AE355/AA355,"")</f>
        <v/>
      </c>
      <c r="AN355" s="21" t="str">
        <f aca="true">IF(AND(AC355&lt;&gt;"Sold",AC355&lt;&gt;"",Z355&lt;&gt;""),TODAY()-Z355,"")</f>
        <v/>
      </c>
      <c r="AO355" s="4"/>
      <c r="AP355" s="4"/>
    </row>
    <row r="356" customFormat="false" ht="1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14"/>
      <c r="O356" s="15"/>
      <c r="P356" s="16"/>
      <c r="Q356" s="4"/>
      <c r="R356" s="17"/>
      <c r="S356" s="18" t="str">
        <f aca="false">IF(OR(P356="",R356=""),"",P356*R356)</f>
        <v/>
      </c>
      <c r="T356" s="14"/>
      <c r="U356" s="14"/>
      <c r="V356" s="14"/>
      <c r="W356" s="14"/>
      <c r="X356" s="18" t="str">
        <f aca="false">IF(S356="","",S356+N(T356)+N(U356)+N(V356)+N(W356))</f>
        <v/>
      </c>
      <c r="Y356" s="4"/>
      <c r="Z356" s="15"/>
      <c r="AA356" s="14"/>
      <c r="AB356" s="19"/>
      <c r="AC356" s="4"/>
      <c r="AD356" s="15"/>
      <c r="AE356" s="14"/>
      <c r="AF356" s="14"/>
      <c r="AG356" s="14"/>
      <c r="AH356" s="18" t="str">
        <f aca="false">IF(AND(AC356="Sold",AE356&lt;&gt;"",AF356&lt;&gt;""),AE356-AF356,"")</f>
        <v/>
      </c>
      <c r="AI356" s="18" t="str">
        <f aca="false">IF(AND(AC356="Sold",AF356&lt;&gt;"",X356&lt;&gt;""),AF356-N(AG356)-X356,"")</f>
        <v/>
      </c>
      <c r="AJ356" s="20" t="str">
        <f aca="false">IF(AND(AI356&lt;&gt;"",N(AE356)&gt;0),AI356/AE356,"")</f>
        <v/>
      </c>
      <c r="AK356" s="20" t="str">
        <f aca="false">IF(AND(AI356&lt;&gt;"",N(X356)&gt;0),AI356/X356,"")</f>
        <v/>
      </c>
      <c r="AL356" s="21" t="str">
        <f aca="false">IF(AND(AC356="Sold",AD356&lt;&gt;"",Z356&lt;&gt;""),AD356-Z356,"")</f>
        <v/>
      </c>
      <c r="AM356" s="20" t="str">
        <f aca="false">IF(AND(AC356="Sold",N(AA356)&gt;0,AE356&lt;&gt;""),1-AE356/AA356,"")</f>
        <v/>
      </c>
      <c r="AN356" s="21" t="str">
        <f aca="true">IF(AND(AC356&lt;&gt;"Sold",AC356&lt;&gt;"",Z356&lt;&gt;""),TODAY()-Z356,"")</f>
        <v/>
      </c>
      <c r="AO356" s="4"/>
      <c r="AP356" s="4"/>
    </row>
    <row r="357" customFormat="false" ht="1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14"/>
      <c r="O357" s="15"/>
      <c r="P357" s="16"/>
      <c r="Q357" s="4"/>
      <c r="R357" s="17"/>
      <c r="S357" s="18" t="str">
        <f aca="false">IF(OR(P357="",R357=""),"",P357*R357)</f>
        <v/>
      </c>
      <c r="T357" s="14"/>
      <c r="U357" s="14"/>
      <c r="V357" s="14"/>
      <c r="W357" s="14"/>
      <c r="X357" s="18" t="str">
        <f aca="false">IF(S357="","",S357+N(T357)+N(U357)+N(V357)+N(W357))</f>
        <v/>
      </c>
      <c r="Y357" s="4"/>
      <c r="Z357" s="15"/>
      <c r="AA357" s="14"/>
      <c r="AB357" s="19"/>
      <c r="AC357" s="4"/>
      <c r="AD357" s="15"/>
      <c r="AE357" s="14"/>
      <c r="AF357" s="14"/>
      <c r="AG357" s="14"/>
      <c r="AH357" s="18" t="str">
        <f aca="false">IF(AND(AC357="Sold",AE357&lt;&gt;"",AF357&lt;&gt;""),AE357-AF357,"")</f>
        <v/>
      </c>
      <c r="AI357" s="18" t="str">
        <f aca="false">IF(AND(AC357="Sold",AF357&lt;&gt;"",X357&lt;&gt;""),AF357-N(AG357)-X357,"")</f>
        <v/>
      </c>
      <c r="AJ357" s="20" t="str">
        <f aca="false">IF(AND(AI357&lt;&gt;"",N(AE357)&gt;0),AI357/AE357,"")</f>
        <v/>
      </c>
      <c r="AK357" s="20" t="str">
        <f aca="false">IF(AND(AI357&lt;&gt;"",N(X357)&gt;0),AI357/X357,"")</f>
        <v/>
      </c>
      <c r="AL357" s="21" t="str">
        <f aca="false">IF(AND(AC357="Sold",AD357&lt;&gt;"",Z357&lt;&gt;""),AD357-Z357,"")</f>
        <v/>
      </c>
      <c r="AM357" s="20" t="str">
        <f aca="false">IF(AND(AC357="Sold",N(AA357)&gt;0,AE357&lt;&gt;""),1-AE357/AA357,"")</f>
        <v/>
      </c>
      <c r="AN357" s="21" t="str">
        <f aca="true">IF(AND(AC357&lt;&gt;"Sold",AC357&lt;&gt;"",Z357&lt;&gt;""),TODAY()-Z357,"")</f>
        <v/>
      </c>
      <c r="AO357" s="4"/>
      <c r="AP357" s="4"/>
    </row>
    <row r="358" customFormat="false" ht="1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14"/>
      <c r="O358" s="15"/>
      <c r="P358" s="16"/>
      <c r="Q358" s="4"/>
      <c r="R358" s="17"/>
      <c r="S358" s="18" t="str">
        <f aca="false">IF(OR(P358="",R358=""),"",P358*R358)</f>
        <v/>
      </c>
      <c r="T358" s="14"/>
      <c r="U358" s="14"/>
      <c r="V358" s="14"/>
      <c r="W358" s="14"/>
      <c r="X358" s="18" t="str">
        <f aca="false">IF(S358="","",S358+N(T358)+N(U358)+N(V358)+N(W358))</f>
        <v/>
      </c>
      <c r="Y358" s="4"/>
      <c r="Z358" s="15"/>
      <c r="AA358" s="14"/>
      <c r="AB358" s="19"/>
      <c r="AC358" s="4"/>
      <c r="AD358" s="15"/>
      <c r="AE358" s="14"/>
      <c r="AF358" s="14"/>
      <c r="AG358" s="14"/>
      <c r="AH358" s="18" t="str">
        <f aca="false">IF(AND(AC358="Sold",AE358&lt;&gt;"",AF358&lt;&gt;""),AE358-AF358,"")</f>
        <v/>
      </c>
      <c r="AI358" s="18" t="str">
        <f aca="false">IF(AND(AC358="Sold",AF358&lt;&gt;"",X358&lt;&gt;""),AF358-N(AG358)-X358,"")</f>
        <v/>
      </c>
      <c r="AJ358" s="20" t="str">
        <f aca="false">IF(AND(AI358&lt;&gt;"",N(AE358)&gt;0),AI358/AE358,"")</f>
        <v/>
      </c>
      <c r="AK358" s="20" t="str">
        <f aca="false">IF(AND(AI358&lt;&gt;"",N(X358)&gt;0),AI358/X358,"")</f>
        <v/>
      </c>
      <c r="AL358" s="21" t="str">
        <f aca="false">IF(AND(AC358="Sold",AD358&lt;&gt;"",Z358&lt;&gt;""),AD358-Z358,"")</f>
        <v/>
      </c>
      <c r="AM358" s="20" t="str">
        <f aca="false">IF(AND(AC358="Sold",N(AA358)&gt;0,AE358&lt;&gt;""),1-AE358/AA358,"")</f>
        <v/>
      </c>
      <c r="AN358" s="21" t="str">
        <f aca="true">IF(AND(AC358&lt;&gt;"Sold",AC358&lt;&gt;"",Z358&lt;&gt;""),TODAY()-Z358,"")</f>
        <v/>
      </c>
      <c r="AO358" s="4"/>
      <c r="AP358" s="4"/>
    </row>
    <row r="359" customFormat="false" ht="1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14"/>
      <c r="O359" s="15"/>
      <c r="P359" s="16"/>
      <c r="Q359" s="4"/>
      <c r="R359" s="17"/>
      <c r="S359" s="18" t="str">
        <f aca="false">IF(OR(P359="",R359=""),"",P359*R359)</f>
        <v/>
      </c>
      <c r="T359" s="14"/>
      <c r="U359" s="14"/>
      <c r="V359" s="14"/>
      <c r="W359" s="14"/>
      <c r="X359" s="18" t="str">
        <f aca="false">IF(S359="","",S359+N(T359)+N(U359)+N(V359)+N(W359))</f>
        <v/>
      </c>
      <c r="Y359" s="4"/>
      <c r="Z359" s="15"/>
      <c r="AA359" s="14"/>
      <c r="AB359" s="19"/>
      <c r="AC359" s="4"/>
      <c r="AD359" s="15"/>
      <c r="AE359" s="14"/>
      <c r="AF359" s="14"/>
      <c r="AG359" s="14"/>
      <c r="AH359" s="18" t="str">
        <f aca="false">IF(AND(AC359="Sold",AE359&lt;&gt;"",AF359&lt;&gt;""),AE359-AF359,"")</f>
        <v/>
      </c>
      <c r="AI359" s="18" t="str">
        <f aca="false">IF(AND(AC359="Sold",AF359&lt;&gt;"",X359&lt;&gt;""),AF359-N(AG359)-X359,"")</f>
        <v/>
      </c>
      <c r="AJ359" s="20" t="str">
        <f aca="false">IF(AND(AI359&lt;&gt;"",N(AE359)&gt;0),AI359/AE359,"")</f>
        <v/>
      </c>
      <c r="AK359" s="20" t="str">
        <f aca="false">IF(AND(AI359&lt;&gt;"",N(X359)&gt;0),AI359/X359,"")</f>
        <v/>
      </c>
      <c r="AL359" s="21" t="str">
        <f aca="false">IF(AND(AC359="Sold",AD359&lt;&gt;"",Z359&lt;&gt;""),AD359-Z359,"")</f>
        <v/>
      </c>
      <c r="AM359" s="20" t="str">
        <f aca="false">IF(AND(AC359="Sold",N(AA359)&gt;0,AE359&lt;&gt;""),1-AE359/AA359,"")</f>
        <v/>
      </c>
      <c r="AN359" s="21" t="str">
        <f aca="true">IF(AND(AC359&lt;&gt;"Sold",AC359&lt;&gt;"",Z359&lt;&gt;""),TODAY()-Z359,"")</f>
        <v/>
      </c>
      <c r="AO359" s="4"/>
      <c r="AP359" s="4"/>
    </row>
    <row r="360" customFormat="false" ht="1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14"/>
      <c r="O360" s="15"/>
      <c r="P360" s="16"/>
      <c r="Q360" s="4"/>
      <c r="R360" s="17"/>
      <c r="S360" s="18" t="str">
        <f aca="false">IF(OR(P360="",R360=""),"",P360*R360)</f>
        <v/>
      </c>
      <c r="T360" s="14"/>
      <c r="U360" s="14"/>
      <c r="V360" s="14"/>
      <c r="W360" s="14"/>
      <c r="X360" s="18" t="str">
        <f aca="false">IF(S360="","",S360+N(T360)+N(U360)+N(V360)+N(W360))</f>
        <v/>
      </c>
      <c r="Y360" s="4"/>
      <c r="Z360" s="15"/>
      <c r="AA360" s="14"/>
      <c r="AB360" s="19"/>
      <c r="AC360" s="4"/>
      <c r="AD360" s="15"/>
      <c r="AE360" s="14"/>
      <c r="AF360" s="14"/>
      <c r="AG360" s="14"/>
      <c r="AH360" s="18" t="str">
        <f aca="false">IF(AND(AC360="Sold",AE360&lt;&gt;"",AF360&lt;&gt;""),AE360-AF360,"")</f>
        <v/>
      </c>
      <c r="AI360" s="18" t="str">
        <f aca="false">IF(AND(AC360="Sold",AF360&lt;&gt;"",X360&lt;&gt;""),AF360-N(AG360)-X360,"")</f>
        <v/>
      </c>
      <c r="AJ360" s="20" t="str">
        <f aca="false">IF(AND(AI360&lt;&gt;"",N(AE360)&gt;0),AI360/AE360,"")</f>
        <v/>
      </c>
      <c r="AK360" s="20" t="str">
        <f aca="false">IF(AND(AI360&lt;&gt;"",N(X360)&gt;0),AI360/X360,"")</f>
        <v/>
      </c>
      <c r="AL360" s="21" t="str">
        <f aca="false">IF(AND(AC360="Sold",AD360&lt;&gt;"",Z360&lt;&gt;""),AD360-Z360,"")</f>
        <v/>
      </c>
      <c r="AM360" s="20" t="str">
        <f aca="false">IF(AND(AC360="Sold",N(AA360)&gt;0,AE360&lt;&gt;""),1-AE360/AA360,"")</f>
        <v/>
      </c>
      <c r="AN360" s="21" t="str">
        <f aca="true">IF(AND(AC360&lt;&gt;"Sold",AC360&lt;&gt;"",Z360&lt;&gt;""),TODAY()-Z360,"")</f>
        <v/>
      </c>
      <c r="AO360" s="4"/>
      <c r="AP360" s="4"/>
    </row>
    <row r="361" customFormat="false" ht="1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14"/>
      <c r="O361" s="15"/>
      <c r="P361" s="16"/>
      <c r="Q361" s="4"/>
      <c r="R361" s="17"/>
      <c r="S361" s="18" t="str">
        <f aca="false">IF(OR(P361="",R361=""),"",P361*R361)</f>
        <v/>
      </c>
      <c r="T361" s="14"/>
      <c r="U361" s="14"/>
      <c r="V361" s="14"/>
      <c r="W361" s="14"/>
      <c r="X361" s="18" t="str">
        <f aca="false">IF(S361="","",S361+N(T361)+N(U361)+N(V361)+N(W361))</f>
        <v/>
      </c>
      <c r="Y361" s="4"/>
      <c r="Z361" s="15"/>
      <c r="AA361" s="14"/>
      <c r="AB361" s="19"/>
      <c r="AC361" s="4"/>
      <c r="AD361" s="15"/>
      <c r="AE361" s="14"/>
      <c r="AF361" s="14"/>
      <c r="AG361" s="14"/>
      <c r="AH361" s="18" t="str">
        <f aca="false">IF(AND(AC361="Sold",AE361&lt;&gt;"",AF361&lt;&gt;""),AE361-AF361,"")</f>
        <v/>
      </c>
      <c r="AI361" s="18" t="str">
        <f aca="false">IF(AND(AC361="Sold",AF361&lt;&gt;"",X361&lt;&gt;""),AF361-N(AG361)-X361,"")</f>
        <v/>
      </c>
      <c r="AJ361" s="20" t="str">
        <f aca="false">IF(AND(AI361&lt;&gt;"",N(AE361)&gt;0),AI361/AE361,"")</f>
        <v/>
      </c>
      <c r="AK361" s="20" t="str">
        <f aca="false">IF(AND(AI361&lt;&gt;"",N(X361)&gt;0),AI361/X361,"")</f>
        <v/>
      </c>
      <c r="AL361" s="21" t="str">
        <f aca="false">IF(AND(AC361="Sold",AD361&lt;&gt;"",Z361&lt;&gt;""),AD361-Z361,"")</f>
        <v/>
      </c>
      <c r="AM361" s="20" t="str">
        <f aca="false">IF(AND(AC361="Sold",N(AA361)&gt;0,AE361&lt;&gt;""),1-AE361/AA361,"")</f>
        <v/>
      </c>
      <c r="AN361" s="21" t="str">
        <f aca="true">IF(AND(AC361&lt;&gt;"Sold",AC361&lt;&gt;"",Z361&lt;&gt;""),TODAY()-Z361,"")</f>
        <v/>
      </c>
      <c r="AO361" s="4"/>
      <c r="AP361" s="4"/>
    </row>
    <row r="362" customFormat="false" ht="1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14"/>
      <c r="O362" s="15"/>
      <c r="P362" s="16"/>
      <c r="Q362" s="4"/>
      <c r="R362" s="17"/>
      <c r="S362" s="18" t="str">
        <f aca="false">IF(OR(P362="",R362=""),"",P362*R362)</f>
        <v/>
      </c>
      <c r="T362" s="14"/>
      <c r="U362" s="14"/>
      <c r="V362" s="14"/>
      <c r="W362" s="14"/>
      <c r="X362" s="18" t="str">
        <f aca="false">IF(S362="","",S362+N(T362)+N(U362)+N(V362)+N(W362))</f>
        <v/>
      </c>
      <c r="Y362" s="4"/>
      <c r="Z362" s="15"/>
      <c r="AA362" s="14"/>
      <c r="AB362" s="19"/>
      <c r="AC362" s="4"/>
      <c r="AD362" s="15"/>
      <c r="AE362" s="14"/>
      <c r="AF362" s="14"/>
      <c r="AG362" s="14"/>
      <c r="AH362" s="18" t="str">
        <f aca="false">IF(AND(AC362="Sold",AE362&lt;&gt;"",AF362&lt;&gt;""),AE362-AF362,"")</f>
        <v/>
      </c>
      <c r="AI362" s="18" t="str">
        <f aca="false">IF(AND(AC362="Sold",AF362&lt;&gt;"",X362&lt;&gt;""),AF362-N(AG362)-X362,"")</f>
        <v/>
      </c>
      <c r="AJ362" s="20" t="str">
        <f aca="false">IF(AND(AI362&lt;&gt;"",N(AE362)&gt;0),AI362/AE362,"")</f>
        <v/>
      </c>
      <c r="AK362" s="20" t="str">
        <f aca="false">IF(AND(AI362&lt;&gt;"",N(X362)&gt;0),AI362/X362,"")</f>
        <v/>
      </c>
      <c r="AL362" s="21" t="str">
        <f aca="false">IF(AND(AC362="Sold",AD362&lt;&gt;"",Z362&lt;&gt;""),AD362-Z362,"")</f>
        <v/>
      </c>
      <c r="AM362" s="20" t="str">
        <f aca="false">IF(AND(AC362="Sold",N(AA362)&gt;0,AE362&lt;&gt;""),1-AE362/AA362,"")</f>
        <v/>
      </c>
      <c r="AN362" s="21" t="str">
        <f aca="true">IF(AND(AC362&lt;&gt;"Sold",AC362&lt;&gt;"",Z362&lt;&gt;""),TODAY()-Z362,"")</f>
        <v/>
      </c>
      <c r="AO362" s="4"/>
      <c r="AP362" s="4"/>
    </row>
    <row r="363" customFormat="false" ht="1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14"/>
      <c r="O363" s="15"/>
      <c r="P363" s="16"/>
      <c r="Q363" s="4"/>
      <c r="R363" s="17"/>
      <c r="S363" s="18" t="str">
        <f aca="false">IF(OR(P363="",R363=""),"",P363*R363)</f>
        <v/>
      </c>
      <c r="T363" s="14"/>
      <c r="U363" s="14"/>
      <c r="V363" s="14"/>
      <c r="W363" s="14"/>
      <c r="X363" s="18" t="str">
        <f aca="false">IF(S363="","",S363+N(T363)+N(U363)+N(V363)+N(W363))</f>
        <v/>
      </c>
      <c r="Y363" s="4"/>
      <c r="Z363" s="15"/>
      <c r="AA363" s="14"/>
      <c r="AB363" s="19"/>
      <c r="AC363" s="4"/>
      <c r="AD363" s="15"/>
      <c r="AE363" s="14"/>
      <c r="AF363" s="14"/>
      <c r="AG363" s="14"/>
      <c r="AH363" s="18" t="str">
        <f aca="false">IF(AND(AC363="Sold",AE363&lt;&gt;"",AF363&lt;&gt;""),AE363-AF363,"")</f>
        <v/>
      </c>
      <c r="AI363" s="18" t="str">
        <f aca="false">IF(AND(AC363="Sold",AF363&lt;&gt;"",X363&lt;&gt;""),AF363-N(AG363)-X363,"")</f>
        <v/>
      </c>
      <c r="AJ363" s="20" t="str">
        <f aca="false">IF(AND(AI363&lt;&gt;"",N(AE363)&gt;0),AI363/AE363,"")</f>
        <v/>
      </c>
      <c r="AK363" s="20" t="str">
        <f aca="false">IF(AND(AI363&lt;&gt;"",N(X363)&gt;0),AI363/X363,"")</f>
        <v/>
      </c>
      <c r="AL363" s="21" t="str">
        <f aca="false">IF(AND(AC363="Sold",AD363&lt;&gt;"",Z363&lt;&gt;""),AD363-Z363,"")</f>
        <v/>
      </c>
      <c r="AM363" s="20" t="str">
        <f aca="false">IF(AND(AC363="Sold",N(AA363)&gt;0,AE363&lt;&gt;""),1-AE363/AA363,"")</f>
        <v/>
      </c>
      <c r="AN363" s="21" t="str">
        <f aca="true">IF(AND(AC363&lt;&gt;"Sold",AC363&lt;&gt;"",Z363&lt;&gt;""),TODAY()-Z363,"")</f>
        <v/>
      </c>
      <c r="AO363" s="4"/>
      <c r="AP363" s="4"/>
    </row>
    <row r="364" customFormat="false" ht="1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14"/>
      <c r="O364" s="15"/>
      <c r="P364" s="16"/>
      <c r="Q364" s="4"/>
      <c r="R364" s="17"/>
      <c r="S364" s="18" t="str">
        <f aca="false">IF(OR(P364="",R364=""),"",P364*R364)</f>
        <v/>
      </c>
      <c r="T364" s="14"/>
      <c r="U364" s="14"/>
      <c r="V364" s="14"/>
      <c r="W364" s="14"/>
      <c r="X364" s="18" t="str">
        <f aca="false">IF(S364="","",S364+N(T364)+N(U364)+N(V364)+N(W364))</f>
        <v/>
      </c>
      <c r="Y364" s="4"/>
      <c r="Z364" s="15"/>
      <c r="AA364" s="14"/>
      <c r="AB364" s="19"/>
      <c r="AC364" s="4"/>
      <c r="AD364" s="15"/>
      <c r="AE364" s="14"/>
      <c r="AF364" s="14"/>
      <c r="AG364" s="14"/>
      <c r="AH364" s="18" t="str">
        <f aca="false">IF(AND(AC364="Sold",AE364&lt;&gt;"",AF364&lt;&gt;""),AE364-AF364,"")</f>
        <v/>
      </c>
      <c r="AI364" s="18" t="str">
        <f aca="false">IF(AND(AC364="Sold",AF364&lt;&gt;"",X364&lt;&gt;""),AF364-N(AG364)-X364,"")</f>
        <v/>
      </c>
      <c r="AJ364" s="20" t="str">
        <f aca="false">IF(AND(AI364&lt;&gt;"",N(AE364)&gt;0),AI364/AE364,"")</f>
        <v/>
      </c>
      <c r="AK364" s="20" t="str">
        <f aca="false">IF(AND(AI364&lt;&gt;"",N(X364)&gt;0),AI364/X364,"")</f>
        <v/>
      </c>
      <c r="AL364" s="21" t="str">
        <f aca="false">IF(AND(AC364="Sold",AD364&lt;&gt;"",Z364&lt;&gt;""),AD364-Z364,"")</f>
        <v/>
      </c>
      <c r="AM364" s="20" t="str">
        <f aca="false">IF(AND(AC364="Sold",N(AA364)&gt;0,AE364&lt;&gt;""),1-AE364/AA364,"")</f>
        <v/>
      </c>
      <c r="AN364" s="21" t="str">
        <f aca="true">IF(AND(AC364&lt;&gt;"Sold",AC364&lt;&gt;"",Z364&lt;&gt;""),TODAY()-Z364,"")</f>
        <v/>
      </c>
      <c r="AO364" s="4"/>
      <c r="AP364" s="4"/>
    </row>
    <row r="365" customFormat="false" ht="1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14"/>
      <c r="O365" s="15"/>
      <c r="P365" s="16"/>
      <c r="Q365" s="4"/>
      <c r="R365" s="17"/>
      <c r="S365" s="18" t="str">
        <f aca="false">IF(OR(P365="",R365=""),"",P365*R365)</f>
        <v/>
      </c>
      <c r="T365" s="14"/>
      <c r="U365" s="14"/>
      <c r="V365" s="14"/>
      <c r="W365" s="14"/>
      <c r="X365" s="18" t="str">
        <f aca="false">IF(S365="","",S365+N(T365)+N(U365)+N(V365)+N(W365))</f>
        <v/>
      </c>
      <c r="Y365" s="4"/>
      <c r="Z365" s="15"/>
      <c r="AA365" s="14"/>
      <c r="AB365" s="19"/>
      <c r="AC365" s="4"/>
      <c r="AD365" s="15"/>
      <c r="AE365" s="14"/>
      <c r="AF365" s="14"/>
      <c r="AG365" s="14"/>
      <c r="AH365" s="18" t="str">
        <f aca="false">IF(AND(AC365="Sold",AE365&lt;&gt;"",AF365&lt;&gt;""),AE365-AF365,"")</f>
        <v/>
      </c>
      <c r="AI365" s="18" t="str">
        <f aca="false">IF(AND(AC365="Sold",AF365&lt;&gt;"",X365&lt;&gt;""),AF365-N(AG365)-X365,"")</f>
        <v/>
      </c>
      <c r="AJ365" s="20" t="str">
        <f aca="false">IF(AND(AI365&lt;&gt;"",N(AE365)&gt;0),AI365/AE365,"")</f>
        <v/>
      </c>
      <c r="AK365" s="20" t="str">
        <f aca="false">IF(AND(AI365&lt;&gt;"",N(X365)&gt;0),AI365/X365,"")</f>
        <v/>
      </c>
      <c r="AL365" s="21" t="str">
        <f aca="false">IF(AND(AC365="Sold",AD365&lt;&gt;"",Z365&lt;&gt;""),AD365-Z365,"")</f>
        <v/>
      </c>
      <c r="AM365" s="20" t="str">
        <f aca="false">IF(AND(AC365="Sold",N(AA365)&gt;0,AE365&lt;&gt;""),1-AE365/AA365,"")</f>
        <v/>
      </c>
      <c r="AN365" s="21" t="str">
        <f aca="true">IF(AND(AC365&lt;&gt;"Sold",AC365&lt;&gt;"",Z365&lt;&gt;""),TODAY()-Z365,"")</f>
        <v/>
      </c>
      <c r="AO365" s="4"/>
      <c r="AP365" s="4"/>
    </row>
    <row r="366" customFormat="false" ht="1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14"/>
      <c r="O366" s="15"/>
      <c r="P366" s="16"/>
      <c r="Q366" s="4"/>
      <c r="R366" s="17"/>
      <c r="S366" s="18" t="str">
        <f aca="false">IF(OR(P366="",R366=""),"",P366*R366)</f>
        <v/>
      </c>
      <c r="T366" s="14"/>
      <c r="U366" s="14"/>
      <c r="V366" s="14"/>
      <c r="W366" s="14"/>
      <c r="X366" s="18" t="str">
        <f aca="false">IF(S366="","",S366+N(T366)+N(U366)+N(V366)+N(W366))</f>
        <v/>
      </c>
      <c r="Y366" s="4"/>
      <c r="Z366" s="15"/>
      <c r="AA366" s="14"/>
      <c r="AB366" s="19"/>
      <c r="AC366" s="4"/>
      <c r="AD366" s="15"/>
      <c r="AE366" s="14"/>
      <c r="AF366" s="14"/>
      <c r="AG366" s="14"/>
      <c r="AH366" s="18" t="str">
        <f aca="false">IF(AND(AC366="Sold",AE366&lt;&gt;"",AF366&lt;&gt;""),AE366-AF366,"")</f>
        <v/>
      </c>
      <c r="AI366" s="18" t="str">
        <f aca="false">IF(AND(AC366="Sold",AF366&lt;&gt;"",X366&lt;&gt;""),AF366-N(AG366)-X366,"")</f>
        <v/>
      </c>
      <c r="AJ366" s="20" t="str">
        <f aca="false">IF(AND(AI366&lt;&gt;"",N(AE366)&gt;0),AI366/AE366,"")</f>
        <v/>
      </c>
      <c r="AK366" s="20" t="str">
        <f aca="false">IF(AND(AI366&lt;&gt;"",N(X366)&gt;0),AI366/X366,"")</f>
        <v/>
      </c>
      <c r="AL366" s="21" t="str">
        <f aca="false">IF(AND(AC366="Sold",AD366&lt;&gt;"",Z366&lt;&gt;""),AD366-Z366,"")</f>
        <v/>
      </c>
      <c r="AM366" s="20" t="str">
        <f aca="false">IF(AND(AC366="Sold",N(AA366)&gt;0,AE366&lt;&gt;""),1-AE366/AA366,"")</f>
        <v/>
      </c>
      <c r="AN366" s="21" t="str">
        <f aca="true">IF(AND(AC366&lt;&gt;"Sold",AC366&lt;&gt;"",Z366&lt;&gt;""),TODAY()-Z366,"")</f>
        <v/>
      </c>
      <c r="AO366" s="4"/>
      <c r="AP366" s="4"/>
    </row>
    <row r="367" customFormat="false" ht="1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14"/>
      <c r="O367" s="15"/>
      <c r="P367" s="16"/>
      <c r="Q367" s="4"/>
      <c r="R367" s="17"/>
      <c r="S367" s="18" t="str">
        <f aca="false">IF(OR(P367="",R367=""),"",P367*R367)</f>
        <v/>
      </c>
      <c r="T367" s="14"/>
      <c r="U367" s="14"/>
      <c r="V367" s="14"/>
      <c r="W367" s="14"/>
      <c r="X367" s="18" t="str">
        <f aca="false">IF(S367="","",S367+N(T367)+N(U367)+N(V367)+N(W367))</f>
        <v/>
      </c>
      <c r="Y367" s="4"/>
      <c r="Z367" s="15"/>
      <c r="AA367" s="14"/>
      <c r="AB367" s="19"/>
      <c r="AC367" s="4"/>
      <c r="AD367" s="15"/>
      <c r="AE367" s="14"/>
      <c r="AF367" s="14"/>
      <c r="AG367" s="14"/>
      <c r="AH367" s="18" t="str">
        <f aca="false">IF(AND(AC367="Sold",AE367&lt;&gt;"",AF367&lt;&gt;""),AE367-AF367,"")</f>
        <v/>
      </c>
      <c r="AI367" s="18" t="str">
        <f aca="false">IF(AND(AC367="Sold",AF367&lt;&gt;"",X367&lt;&gt;""),AF367-N(AG367)-X367,"")</f>
        <v/>
      </c>
      <c r="AJ367" s="20" t="str">
        <f aca="false">IF(AND(AI367&lt;&gt;"",N(AE367)&gt;0),AI367/AE367,"")</f>
        <v/>
      </c>
      <c r="AK367" s="20" t="str">
        <f aca="false">IF(AND(AI367&lt;&gt;"",N(X367)&gt;0),AI367/X367,"")</f>
        <v/>
      </c>
      <c r="AL367" s="21" t="str">
        <f aca="false">IF(AND(AC367="Sold",AD367&lt;&gt;"",Z367&lt;&gt;""),AD367-Z367,"")</f>
        <v/>
      </c>
      <c r="AM367" s="20" t="str">
        <f aca="false">IF(AND(AC367="Sold",N(AA367)&gt;0,AE367&lt;&gt;""),1-AE367/AA367,"")</f>
        <v/>
      </c>
      <c r="AN367" s="21" t="str">
        <f aca="true">IF(AND(AC367&lt;&gt;"Sold",AC367&lt;&gt;"",Z367&lt;&gt;""),TODAY()-Z367,"")</f>
        <v/>
      </c>
      <c r="AO367" s="4"/>
      <c r="AP367" s="4"/>
    </row>
    <row r="368" customFormat="false" ht="1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14"/>
      <c r="O368" s="15"/>
      <c r="P368" s="16"/>
      <c r="Q368" s="4"/>
      <c r="R368" s="17"/>
      <c r="S368" s="18" t="str">
        <f aca="false">IF(OR(P368="",R368=""),"",P368*R368)</f>
        <v/>
      </c>
      <c r="T368" s="14"/>
      <c r="U368" s="14"/>
      <c r="V368" s="14"/>
      <c r="W368" s="14"/>
      <c r="X368" s="18" t="str">
        <f aca="false">IF(S368="","",S368+N(T368)+N(U368)+N(V368)+N(W368))</f>
        <v/>
      </c>
      <c r="Y368" s="4"/>
      <c r="Z368" s="15"/>
      <c r="AA368" s="14"/>
      <c r="AB368" s="19"/>
      <c r="AC368" s="4"/>
      <c r="AD368" s="15"/>
      <c r="AE368" s="14"/>
      <c r="AF368" s="14"/>
      <c r="AG368" s="14"/>
      <c r="AH368" s="18" t="str">
        <f aca="false">IF(AND(AC368="Sold",AE368&lt;&gt;"",AF368&lt;&gt;""),AE368-AF368,"")</f>
        <v/>
      </c>
      <c r="AI368" s="18" t="str">
        <f aca="false">IF(AND(AC368="Sold",AF368&lt;&gt;"",X368&lt;&gt;""),AF368-N(AG368)-X368,"")</f>
        <v/>
      </c>
      <c r="AJ368" s="20" t="str">
        <f aca="false">IF(AND(AI368&lt;&gt;"",N(AE368)&gt;0),AI368/AE368,"")</f>
        <v/>
      </c>
      <c r="AK368" s="20" t="str">
        <f aca="false">IF(AND(AI368&lt;&gt;"",N(X368)&gt;0),AI368/X368,"")</f>
        <v/>
      </c>
      <c r="AL368" s="21" t="str">
        <f aca="false">IF(AND(AC368="Sold",AD368&lt;&gt;"",Z368&lt;&gt;""),AD368-Z368,"")</f>
        <v/>
      </c>
      <c r="AM368" s="20" t="str">
        <f aca="false">IF(AND(AC368="Sold",N(AA368)&gt;0,AE368&lt;&gt;""),1-AE368/AA368,"")</f>
        <v/>
      </c>
      <c r="AN368" s="21" t="str">
        <f aca="true">IF(AND(AC368&lt;&gt;"Sold",AC368&lt;&gt;"",Z368&lt;&gt;""),TODAY()-Z368,"")</f>
        <v/>
      </c>
      <c r="AO368" s="4"/>
      <c r="AP368" s="4"/>
    </row>
    <row r="369" customFormat="false" ht="1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14"/>
      <c r="O369" s="15"/>
      <c r="P369" s="16"/>
      <c r="Q369" s="4"/>
      <c r="R369" s="17"/>
      <c r="S369" s="18" t="str">
        <f aca="false">IF(OR(P369="",R369=""),"",P369*R369)</f>
        <v/>
      </c>
      <c r="T369" s="14"/>
      <c r="U369" s="14"/>
      <c r="V369" s="14"/>
      <c r="W369" s="14"/>
      <c r="X369" s="18" t="str">
        <f aca="false">IF(S369="","",S369+N(T369)+N(U369)+N(V369)+N(W369))</f>
        <v/>
      </c>
      <c r="Y369" s="4"/>
      <c r="Z369" s="15"/>
      <c r="AA369" s="14"/>
      <c r="AB369" s="19"/>
      <c r="AC369" s="4"/>
      <c r="AD369" s="15"/>
      <c r="AE369" s="14"/>
      <c r="AF369" s="14"/>
      <c r="AG369" s="14"/>
      <c r="AH369" s="18" t="str">
        <f aca="false">IF(AND(AC369="Sold",AE369&lt;&gt;"",AF369&lt;&gt;""),AE369-AF369,"")</f>
        <v/>
      </c>
      <c r="AI369" s="18" t="str">
        <f aca="false">IF(AND(AC369="Sold",AF369&lt;&gt;"",X369&lt;&gt;""),AF369-N(AG369)-X369,"")</f>
        <v/>
      </c>
      <c r="AJ369" s="20" t="str">
        <f aca="false">IF(AND(AI369&lt;&gt;"",N(AE369)&gt;0),AI369/AE369,"")</f>
        <v/>
      </c>
      <c r="AK369" s="20" t="str">
        <f aca="false">IF(AND(AI369&lt;&gt;"",N(X369)&gt;0),AI369/X369,"")</f>
        <v/>
      </c>
      <c r="AL369" s="21" t="str">
        <f aca="false">IF(AND(AC369="Sold",AD369&lt;&gt;"",Z369&lt;&gt;""),AD369-Z369,"")</f>
        <v/>
      </c>
      <c r="AM369" s="20" t="str">
        <f aca="false">IF(AND(AC369="Sold",N(AA369)&gt;0,AE369&lt;&gt;""),1-AE369/AA369,"")</f>
        <v/>
      </c>
      <c r="AN369" s="21" t="str">
        <f aca="true">IF(AND(AC369&lt;&gt;"Sold",AC369&lt;&gt;"",Z369&lt;&gt;""),TODAY()-Z369,"")</f>
        <v/>
      </c>
      <c r="AO369" s="4"/>
      <c r="AP369" s="4"/>
    </row>
    <row r="370" customFormat="false" ht="1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14"/>
      <c r="O370" s="15"/>
      <c r="P370" s="16"/>
      <c r="Q370" s="4"/>
      <c r="R370" s="17"/>
      <c r="S370" s="18" t="str">
        <f aca="false">IF(OR(P370="",R370=""),"",P370*R370)</f>
        <v/>
      </c>
      <c r="T370" s="14"/>
      <c r="U370" s="14"/>
      <c r="V370" s="14"/>
      <c r="W370" s="14"/>
      <c r="X370" s="18" t="str">
        <f aca="false">IF(S370="","",S370+N(T370)+N(U370)+N(V370)+N(W370))</f>
        <v/>
      </c>
      <c r="Y370" s="4"/>
      <c r="Z370" s="15"/>
      <c r="AA370" s="14"/>
      <c r="AB370" s="19"/>
      <c r="AC370" s="4"/>
      <c r="AD370" s="15"/>
      <c r="AE370" s="14"/>
      <c r="AF370" s="14"/>
      <c r="AG370" s="14"/>
      <c r="AH370" s="18" t="str">
        <f aca="false">IF(AND(AC370="Sold",AE370&lt;&gt;"",AF370&lt;&gt;""),AE370-AF370,"")</f>
        <v/>
      </c>
      <c r="AI370" s="18" t="str">
        <f aca="false">IF(AND(AC370="Sold",AF370&lt;&gt;"",X370&lt;&gt;""),AF370-N(AG370)-X370,"")</f>
        <v/>
      </c>
      <c r="AJ370" s="20" t="str">
        <f aca="false">IF(AND(AI370&lt;&gt;"",N(AE370)&gt;0),AI370/AE370,"")</f>
        <v/>
      </c>
      <c r="AK370" s="20" t="str">
        <f aca="false">IF(AND(AI370&lt;&gt;"",N(X370)&gt;0),AI370/X370,"")</f>
        <v/>
      </c>
      <c r="AL370" s="21" t="str">
        <f aca="false">IF(AND(AC370="Sold",AD370&lt;&gt;"",Z370&lt;&gt;""),AD370-Z370,"")</f>
        <v/>
      </c>
      <c r="AM370" s="20" t="str">
        <f aca="false">IF(AND(AC370="Sold",N(AA370)&gt;0,AE370&lt;&gt;""),1-AE370/AA370,"")</f>
        <v/>
      </c>
      <c r="AN370" s="21" t="str">
        <f aca="true">IF(AND(AC370&lt;&gt;"Sold",AC370&lt;&gt;"",Z370&lt;&gt;""),TODAY()-Z370,"")</f>
        <v/>
      </c>
      <c r="AO370" s="4"/>
      <c r="AP370" s="4"/>
    </row>
    <row r="371" customFormat="false" ht="1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14"/>
      <c r="O371" s="15"/>
      <c r="P371" s="16"/>
      <c r="Q371" s="4"/>
      <c r="R371" s="17"/>
      <c r="S371" s="18" t="str">
        <f aca="false">IF(OR(P371="",R371=""),"",P371*R371)</f>
        <v/>
      </c>
      <c r="T371" s="14"/>
      <c r="U371" s="14"/>
      <c r="V371" s="14"/>
      <c r="W371" s="14"/>
      <c r="X371" s="18" t="str">
        <f aca="false">IF(S371="","",S371+N(T371)+N(U371)+N(V371)+N(W371))</f>
        <v/>
      </c>
      <c r="Y371" s="4"/>
      <c r="Z371" s="15"/>
      <c r="AA371" s="14"/>
      <c r="AB371" s="19"/>
      <c r="AC371" s="4"/>
      <c r="AD371" s="15"/>
      <c r="AE371" s="14"/>
      <c r="AF371" s="14"/>
      <c r="AG371" s="14"/>
      <c r="AH371" s="18" t="str">
        <f aca="false">IF(AND(AC371="Sold",AE371&lt;&gt;"",AF371&lt;&gt;""),AE371-AF371,"")</f>
        <v/>
      </c>
      <c r="AI371" s="18" t="str">
        <f aca="false">IF(AND(AC371="Sold",AF371&lt;&gt;"",X371&lt;&gt;""),AF371-N(AG371)-X371,"")</f>
        <v/>
      </c>
      <c r="AJ371" s="20" t="str">
        <f aca="false">IF(AND(AI371&lt;&gt;"",N(AE371)&gt;0),AI371/AE371,"")</f>
        <v/>
      </c>
      <c r="AK371" s="20" t="str">
        <f aca="false">IF(AND(AI371&lt;&gt;"",N(X371)&gt;0),AI371/X371,"")</f>
        <v/>
      </c>
      <c r="AL371" s="21" t="str">
        <f aca="false">IF(AND(AC371="Sold",AD371&lt;&gt;"",Z371&lt;&gt;""),AD371-Z371,"")</f>
        <v/>
      </c>
      <c r="AM371" s="20" t="str">
        <f aca="false">IF(AND(AC371="Sold",N(AA371)&gt;0,AE371&lt;&gt;""),1-AE371/AA371,"")</f>
        <v/>
      </c>
      <c r="AN371" s="21" t="str">
        <f aca="true">IF(AND(AC371&lt;&gt;"Sold",AC371&lt;&gt;"",Z371&lt;&gt;""),TODAY()-Z371,"")</f>
        <v/>
      </c>
      <c r="AO371" s="4"/>
      <c r="AP371" s="4"/>
    </row>
    <row r="372" customFormat="false" ht="1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14"/>
      <c r="O372" s="15"/>
      <c r="P372" s="16"/>
      <c r="Q372" s="4"/>
      <c r="R372" s="17"/>
      <c r="S372" s="18" t="str">
        <f aca="false">IF(OR(P372="",R372=""),"",P372*R372)</f>
        <v/>
      </c>
      <c r="T372" s="14"/>
      <c r="U372" s="14"/>
      <c r="V372" s="14"/>
      <c r="W372" s="14"/>
      <c r="X372" s="18" t="str">
        <f aca="false">IF(S372="","",S372+N(T372)+N(U372)+N(V372)+N(W372))</f>
        <v/>
      </c>
      <c r="Y372" s="4"/>
      <c r="Z372" s="15"/>
      <c r="AA372" s="14"/>
      <c r="AB372" s="19"/>
      <c r="AC372" s="4"/>
      <c r="AD372" s="15"/>
      <c r="AE372" s="14"/>
      <c r="AF372" s="14"/>
      <c r="AG372" s="14"/>
      <c r="AH372" s="18" t="str">
        <f aca="false">IF(AND(AC372="Sold",AE372&lt;&gt;"",AF372&lt;&gt;""),AE372-AF372,"")</f>
        <v/>
      </c>
      <c r="AI372" s="18" t="str">
        <f aca="false">IF(AND(AC372="Sold",AF372&lt;&gt;"",X372&lt;&gt;""),AF372-N(AG372)-X372,"")</f>
        <v/>
      </c>
      <c r="AJ372" s="20" t="str">
        <f aca="false">IF(AND(AI372&lt;&gt;"",N(AE372)&gt;0),AI372/AE372,"")</f>
        <v/>
      </c>
      <c r="AK372" s="20" t="str">
        <f aca="false">IF(AND(AI372&lt;&gt;"",N(X372)&gt;0),AI372/X372,"")</f>
        <v/>
      </c>
      <c r="AL372" s="21" t="str">
        <f aca="false">IF(AND(AC372="Sold",AD372&lt;&gt;"",Z372&lt;&gt;""),AD372-Z372,"")</f>
        <v/>
      </c>
      <c r="AM372" s="20" t="str">
        <f aca="false">IF(AND(AC372="Sold",N(AA372)&gt;0,AE372&lt;&gt;""),1-AE372/AA372,"")</f>
        <v/>
      </c>
      <c r="AN372" s="21" t="str">
        <f aca="true">IF(AND(AC372&lt;&gt;"Sold",AC372&lt;&gt;"",Z372&lt;&gt;""),TODAY()-Z372,"")</f>
        <v/>
      </c>
      <c r="AO372" s="4"/>
      <c r="AP372" s="4"/>
    </row>
    <row r="373" customFormat="false" ht="1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14"/>
      <c r="O373" s="15"/>
      <c r="P373" s="16"/>
      <c r="Q373" s="4"/>
      <c r="R373" s="17"/>
      <c r="S373" s="18" t="str">
        <f aca="false">IF(OR(P373="",R373=""),"",P373*R373)</f>
        <v/>
      </c>
      <c r="T373" s="14"/>
      <c r="U373" s="14"/>
      <c r="V373" s="14"/>
      <c r="W373" s="14"/>
      <c r="X373" s="18" t="str">
        <f aca="false">IF(S373="","",S373+N(T373)+N(U373)+N(V373)+N(W373))</f>
        <v/>
      </c>
      <c r="Y373" s="4"/>
      <c r="Z373" s="15"/>
      <c r="AA373" s="14"/>
      <c r="AB373" s="19"/>
      <c r="AC373" s="4"/>
      <c r="AD373" s="15"/>
      <c r="AE373" s="14"/>
      <c r="AF373" s="14"/>
      <c r="AG373" s="14"/>
      <c r="AH373" s="18" t="str">
        <f aca="false">IF(AND(AC373="Sold",AE373&lt;&gt;"",AF373&lt;&gt;""),AE373-AF373,"")</f>
        <v/>
      </c>
      <c r="AI373" s="18" t="str">
        <f aca="false">IF(AND(AC373="Sold",AF373&lt;&gt;"",X373&lt;&gt;""),AF373-N(AG373)-X373,"")</f>
        <v/>
      </c>
      <c r="AJ373" s="20" t="str">
        <f aca="false">IF(AND(AI373&lt;&gt;"",N(AE373)&gt;0),AI373/AE373,"")</f>
        <v/>
      </c>
      <c r="AK373" s="20" t="str">
        <f aca="false">IF(AND(AI373&lt;&gt;"",N(X373)&gt;0),AI373/X373,"")</f>
        <v/>
      </c>
      <c r="AL373" s="21" t="str">
        <f aca="false">IF(AND(AC373="Sold",AD373&lt;&gt;"",Z373&lt;&gt;""),AD373-Z373,"")</f>
        <v/>
      </c>
      <c r="AM373" s="20" t="str">
        <f aca="false">IF(AND(AC373="Sold",N(AA373)&gt;0,AE373&lt;&gt;""),1-AE373/AA373,"")</f>
        <v/>
      </c>
      <c r="AN373" s="21" t="str">
        <f aca="true">IF(AND(AC373&lt;&gt;"Sold",AC373&lt;&gt;"",Z373&lt;&gt;""),TODAY()-Z373,"")</f>
        <v/>
      </c>
      <c r="AO373" s="4"/>
      <c r="AP373" s="4"/>
    </row>
    <row r="374" customFormat="false" ht="1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14"/>
      <c r="O374" s="15"/>
      <c r="P374" s="16"/>
      <c r="Q374" s="4"/>
      <c r="R374" s="17"/>
      <c r="S374" s="18" t="str">
        <f aca="false">IF(OR(P374="",R374=""),"",P374*R374)</f>
        <v/>
      </c>
      <c r="T374" s="14"/>
      <c r="U374" s="14"/>
      <c r="V374" s="14"/>
      <c r="W374" s="14"/>
      <c r="X374" s="18" t="str">
        <f aca="false">IF(S374="","",S374+N(T374)+N(U374)+N(V374)+N(W374))</f>
        <v/>
      </c>
      <c r="Y374" s="4"/>
      <c r="Z374" s="15"/>
      <c r="AA374" s="14"/>
      <c r="AB374" s="19"/>
      <c r="AC374" s="4"/>
      <c r="AD374" s="15"/>
      <c r="AE374" s="14"/>
      <c r="AF374" s="14"/>
      <c r="AG374" s="14"/>
      <c r="AH374" s="18" t="str">
        <f aca="false">IF(AND(AC374="Sold",AE374&lt;&gt;"",AF374&lt;&gt;""),AE374-AF374,"")</f>
        <v/>
      </c>
      <c r="AI374" s="18" t="str">
        <f aca="false">IF(AND(AC374="Sold",AF374&lt;&gt;"",X374&lt;&gt;""),AF374-N(AG374)-X374,"")</f>
        <v/>
      </c>
      <c r="AJ374" s="20" t="str">
        <f aca="false">IF(AND(AI374&lt;&gt;"",N(AE374)&gt;0),AI374/AE374,"")</f>
        <v/>
      </c>
      <c r="AK374" s="20" t="str">
        <f aca="false">IF(AND(AI374&lt;&gt;"",N(X374)&gt;0),AI374/X374,"")</f>
        <v/>
      </c>
      <c r="AL374" s="21" t="str">
        <f aca="false">IF(AND(AC374="Sold",AD374&lt;&gt;"",Z374&lt;&gt;""),AD374-Z374,"")</f>
        <v/>
      </c>
      <c r="AM374" s="20" t="str">
        <f aca="false">IF(AND(AC374="Sold",N(AA374)&gt;0,AE374&lt;&gt;""),1-AE374/AA374,"")</f>
        <v/>
      </c>
      <c r="AN374" s="21" t="str">
        <f aca="true">IF(AND(AC374&lt;&gt;"Sold",AC374&lt;&gt;"",Z374&lt;&gt;""),TODAY()-Z374,"")</f>
        <v/>
      </c>
      <c r="AO374" s="4"/>
      <c r="AP374" s="4"/>
    </row>
    <row r="375" customFormat="false" ht="1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14"/>
      <c r="O375" s="15"/>
      <c r="P375" s="16"/>
      <c r="Q375" s="4"/>
      <c r="R375" s="17"/>
      <c r="S375" s="18" t="str">
        <f aca="false">IF(OR(P375="",R375=""),"",P375*R375)</f>
        <v/>
      </c>
      <c r="T375" s="14"/>
      <c r="U375" s="14"/>
      <c r="V375" s="14"/>
      <c r="W375" s="14"/>
      <c r="X375" s="18" t="str">
        <f aca="false">IF(S375="","",S375+N(T375)+N(U375)+N(V375)+N(W375))</f>
        <v/>
      </c>
      <c r="Y375" s="4"/>
      <c r="Z375" s="15"/>
      <c r="AA375" s="14"/>
      <c r="AB375" s="19"/>
      <c r="AC375" s="4"/>
      <c r="AD375" s="15"/>
      <c r="AE375" s="14"/>
      <c r="AF375" s="14"/>
      <c r="AG375" s="14"/>
      <c r="AH375" s="18" t="str">
        <f aca="false">IF(AND(AC375="Sold",AE375&lt;&gt;"",AF375&lt;&gt;""),AE375-AF375,"")</f>
        <v/>
      </c>
      <c r="AI375" s="18" t="str">
        <f aca="false">IF(AND(AC375="Sold",AF375&lt;&gt;"",X375&lt;&gt;""),AF375-N(AG375)-X375,"")</f>
        <v/>
      </c>
      <c r="AJ375" s="20" t="str">
        <f aca="false">IF(AND(AI375&lt;&gt;"",N(AE375)&gt;0),AI375/AE375,"")</f>
        <v/>
      </c>
      <c r="AK375" s="20" t="str">
        <f aca="false">IF(AND(AI375&lt;&gt;"",N(X375)&gt;0),AI375/X375,"")</f>
        <v/>
      </c>
      <c r="AL375" s="21" t="str">
        <f aca="false">IF(AND(AC375="Sold",AD375&lt;&gt;"",Z375&lt;&gt;""),AD375-Z375,"")</f>
        <v/>
      </c>
      <c r="AM375" s="20" t="str">
        <f aca="false">IF(AND(AC375="Sold",N(AA375)&gt;0,AE375&lt;&gt;""),1-AE375/AA375,"")</f>
        <v/>
      </c>
      <c r="AN375" s="21" t="str">
        <f aca="true">IF(AND(AC375&lt;&gt;"Sold",AC375&lt;&gt;"",Z375&lt;&gt;""),TODAY()-Z375,"")</f>
        <v/>
      </c>
      <c r="AO375" s="4"/>
      <c r="AP375" s="4"/>
    </row>
    <row r="376" customFormat="false" ht="1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14"/>
      <c r="O376" s="15"/>
      <c r="P376" s="16"/>
      <c r="Q376" s="4"/>
      <c r="R376" s="17"/>
      <c r="S376" s="18" t="str">
        <f aca="false">IF(OR(P376="",R376=""),"",P376*R376)</f>
        <v/>
      </c>
      <c r="T376" s="14"/>
      <c r="U376" s="14"/>
      <c r="V376" s="14"/>
      <c r="W376" s="14"/>
      <c r="X376" s="18" t="str">
        <f aca="false">IF(S376="","",S376+N(T376)+N(U376)+N(V376)+N(W376))</f>
        <v/>
      </c>
      <c r="Y376" s="4"/>
      <c r="Z376" s="15"/>
      <c r="AA376" s="14"/>
      <c r="AB376" s="19"/>
      <c r="AC376" s="4"/>
      <c r="AD376" s="15"/>
      <c r="AE376" s="14"/>
      <c r="AF376" s="14"/>
      <c r="AG376" s="14"/>
      <c r="AH376" s="18" t="str">
        <f aca="false">IF(AND(AC376="Sold",AE376&lt;&gt;"",AF376&lt;&gt;""),AE376-AF376,"")</f>
        <v/>
      </c>
      <c r="AI376" s="18" t="str">
        <f aca="false">IF(AND(AC376="Sold",AF376&lt;&gt;"",X376&lt;&gt;""),AF376-N(AG376)-X376,"")</f>
        <v/>
      </c>
      <c r="AJ376" s="20" t="str">
        <f aca="false">IF(AND(AI376&lt;&gt;"",N(AE376)&gt;0),AI376/AE376,"")</f>
        <v/>
      </c>
      <c r="AK376" s="20" t="str">
        <f aca="false">IF(AND(AI376&lt;&gt;"",N(X376)&gt;0),AI376/X376,"")</f>
        <v/>
      </c>
      <c r="AL376" s="21" t="str">
        <f aca="false">IF(AND(AC376="Sold",AD376&lt;&gt;"",Z376&lt;&gt;""),AD376-Z376,"")</f>
        <v/>
      </c>
      <c r="AM376" s="20" t="str">
        <f aca="false">IF(AND(AC376="Sold",N(AA376)&gt;0,AE376&lt;&gt;""),1-AE376/AA376,"")</f>
        <v/>
      </c>
      <c r="AN376" s="21" t="str">
        <f aca="true">IF(AND(AC376&lt;&gt;"Sold",AC376&lt;&gt;"",Z376&lt;&gt;""),TODAY()-Z376,"")</f>
        <v/>
      </c>
      <c r="AO376" s="4"/>
      <c r="AP376" s="4"/>
    </row>
    <row r="377" customFormat="false" ht="1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14"/>
      <c r="O377" s="15"/>
      <c r="P377" s="16"/>
      <c r="Q377" s="4"/>
      <c r="R377" s="17"/>
      <c r="S377" s="18" t="str">
        <f aca="false">IF(OR(P377="",R377=""),"",P377*R377)</f>
        <v/>
      </c>
      <c r="T377" s="14"/>
      <c r="U377" s="14"/>
      <c r="V377" s="14"/>
      <c r="W377" s="14"/>
      <c r="X377" s="18" t="str">
        <f aca="false">IF(S377="","",S377+N(T377)+N(U377)+N(V377)+N(W377))</f>
        <v/>
      </c>
      <c r="Y377" s="4"/>
      <c r="Z377" s="15"/>
      <c r="AA377" s="14"/>
      <c r="AB377" s="19"/>
      <c r="AC377" s="4"/>
      <c r="AD377" s="15"/>
      <c r="AE377" s="14"/>
      <c r="AF377" s="14"/>
      <c r="AG377" s="14"/>
      <c r="AH377" s="18" t="str">
        <f aca="false">IF(AND(AC377="Sold",AE377&lt;&gt;"",AF377&lt;&gt;""),AE377-AF377,"")</f>
        <v/>
      </c>
      <c r="AI377" s="18" t="str">
        <f aca="false">IF(AND(AC377="Sold",AF377&lt;&gt;"",X377&lt;&gt;""),AF377-N(AG377)-X377,"")</f>
        <v/>
      </c>
      <c r="AJ377" s="20" t="str">
        <f aca="false">IF(AND(AI377&lt;&gt;"",N(AE377)&gt;0),AI377/AE377,"")</f>
        <v/>
      </c>
      <c r="AK377" s="20" t="str">
        <f aca="false">IF(AND(AI377&lt;&gt;"",N(X377)&gt;0),AI377/X377,"")</f>
        <v/>
      </c>
      <c r="AL377" s="21" t="str">
        <f aca="false">IF(AND(AC377="Sold",AD377&lt;&gt;"",Z377&lt;&gt;""),AD377-Z377,"")</f>
        <v/>
      </c>
      <c r="AM377" s="20" t="str">
        <f aca="false">IF(AND(AC377="Sold",N(AA377)&gt;0,AE377&lt;&gt;""),1-AE377/AA377,"")</f>
        <v/>
      </c>
      <c r="AN377" s="21" t="str">
        <f aca="true">IF(AND(AC377&lt;&gt;"Sold",AC377&lt;&gt;"",Z377&lt;&gt;""),TODAY()-Z377,"")</f>
        <v/>
      </c>
      <c r="AO377" s="4"/>
      <c r="AP377" s="4"/>
    </row>
    <row r="378" customFormat="false" ht="1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14"/>
      <c r="O378" s="15"/>
      <c r="P378" s="16"/>
      <c r="Q378" s="4"/>
      <c r="R378" s="17"/>
      <c r="S378" s="18" t="str">
        <f aca="false">IF(OR(P378="",R378=""),"",P378*R378)</f>
        <v/>
      </c>
      <c r="T378" s="14"/>
      <c r="U378" s="14"/>
      <c r="V378" s="14"/>
      <c r="W378" s="14"/>
      <c r="X378" s="18" t="str">
        <f aca="false">IF(S378="","",S378+N(T378)+N(U378)+N(V378)+N(W378))</f>
        <v/>
      </c>
      <c r="Y378" s="4"/>
      <c r="Z378" s="15"/>
      <c r="AA378" s="14"/>
      <c r="AB378" s="19"/>
      <c r="AC378" s="4"/>
      <c r="AD378" s="15"/>
      <c r="AE378" s="14"/>
      <c r="AF378" s="14"/>
      <c r="AG378" s="14"/>
      <c r="AH378" s="18" t="str">
        <f aca="false">IF(AND(AC378="Sold",AE378&lt;&gt;"",AF378&lt;&gt;""),AE378-AF378,"")</f>
        <v/>
      </c>
      <c r="AI378" s="18" t="str">
        <f aca="false">IF(AND(AC378="Sold",AF378&lt;&gt;"",X378&lt;&gt;""),AF378-N(AG378)-X378,"")</f>
        <v/>
      </c>
      <c r="AJ378" s="20" t="str">
        <f aca="false">IF(AND(AI378&lt;&gt;"",N(AE378)&gt;0),AI378/AE378,"")</f>
        <v/>
      </c>
      <c r="AK378" s="20" t="str">
        <f aca="false">IF(AND(AI378&lt;&gt;"",N(X378)&gt;0),AI378/X378,"")</f>
        <v/>
      </c>
      <c r="AL378" s="21" t="str">
        <f aca="false">IF(AND(AC378="Sold",AD378&lt;&gt;"",Z378&lt;&gt;""),AD378-Z378,"")</f>
        <v/>
      </c>
      <c r="AM378" s="20" t="str">
        <f aca="false">IF(AND(AC378="Sold",N(AA378)&gt;0,AE378&lt;&gt;""),1-AE378/AA378,"")</f>
        <v/>
      </c>
      <c r="AN378" s="21" t="str">
        <f aca="true">IF(AND(AC378&lt;&gt;"Sold",AC378&lt;&gt;"",Z378&lt;&gt;""),TODAY()-Z378,"")</f>
        <v/>
      </c>
      <c r="AO378" s="4"/>
      <c r="AP378" s="4"/>
    </row>
    <row r="379" customFormat="false" ht="1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14"/>
      <c r="O379" s="15"/>
      <c r="P379" s="16"/>
      <c r="Q379" s="4"/>
      <c r="R379" s="17"/>
      <c r="S379" s="18" t="str">
        <f aca="false">IF(OR(P379="",R379=""),"",P379*R379)</f>
        <v/>
      </c>
      <c r="T379" s="14"/>
      <c r="U379" s="14"/>
      <c r="V379" s="14"/>
      <c r="W379" s="14"/>
      <c r="X379" s="18" t="str">
        <f aca="false">IF(S379="","",S379+N(T379)+N(U379)+N(V379)+N(W379))</f>
        <v/>
      </c>
      <c r="Y379" s="4"/>
      <c r="Z379" s="15"/>
      <c r="AA379" s="14"/>
      <c r="AB379" s="19"/>
      <c r="AC379" s="4"/>
      <c r="AD379" s="15"/>
      <c r="AE379" s="14"/>
      <c r="AF379" s="14"/>
      <c r="AG379" s="14"/>
      <c r="AH379" s="18" t="str">
        <f aca="false">IF(AND(AC379="Sold",AE379&lt;&gt;"",AF379&lt;&gt;""),AE379-AF379,"")</f>
        <v/>
      </c>
      <c r="AI379" s="18" t="str">
        <f aca="false">IF(AND(AC379="Sold",AF379&lt;&gt;"",X379&lt;&gt;""),AF379-N(AG379)-X379,"")</f>
        <v/>
      </c>
      <c r="AJ379" s="20" t="str">
        <f aca="false">IF(AND(AI379&lt;&gt;"",N(AE379)&gt;0),AI379/AE379,"")</f>
        <v/>
      </c>
      <c r="AK379" s="20" t="str">
        <f aca="false">IF(AND(AI379&lt;&gt;"",N(X379)&gt;0),AI379/X379,"")</f>
        <v/>
      </c>
      <c r="AL379" s="21" t="str">
        <f aca="false">IF(AND(AC379="Sold",AD379&lt;&gt;"",Z379&lt;&gt;""),AD379-Z379,"")</f>
        <v/>
      </c>
      <c r="AM379" s="20" t="str">
        <f aca="false">IF(AND(AC379="Sold",N(AA379)&gt;0,AE379&lt;&gt;""),1-AE379/AA379,"")</f>
        <v/>
      </c>
      <c r="AN379" s="21" t="str">
        <f aca="true">IF(AND(AC379&lt;&gt;"Sold",AC379&lt;&gt;"",Z379&lt;&gt;""),TODAY()-Z379,"")</f>
        <v/>
      </c>
      <c r="AO379" s="4"/>
      <c r="AP379" s="4"/>
    </row>
    <row r="380" customFormat="false" ht="1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14"/>
      <c r="O380" s="15"/>
      <c r="P380" s="16"/>
      <c r="Q380" s="4"/>
      <c r="R380" s="17"/>
      <c r="S380" s="18" t="str">
        <f aca="false">IF(OR(P380="",R380=""),"",P380*R380)</f>
        <v/>
      </c>
      <c r="T380" s="14"/>
      <c r="U380" s="14"/>
      <c r="V380" s="14"/>
      <c r="W380" s="14"/>
      <c r="X380" s="18" t="str">
        <f aca="false">IF(S380="","",S380+N(T380)+N(U380)+N(V380)+N(W380))</f>
        <v/>
      </c>
      <c r="Y380" s="4"/>
      <c r="Z380" s="15"/>
      <c r="AA380" s="14"/>
      <c r="AB380" s="19"/>
      <c r="AC380" s="4"/>
      <c r="AD380" s="15"/>
      <c r="AE380" s="14"/>
      <c r="AF380" s="14"/>
      <c r="AG380" s="14"/>
      <c r="AH380" s="18" t="str">
        <f aca="false">IF(AND(AC380="Sold",AE380&lt;&gt;"",AF380&lt;&gt;""),AE380-AF380,"")</f>
        <v/>
      </c>
      <c r="AI380" s="18" t="str">
        <f aca="false">IF(AND(AC380="Sold",AF380&lt;&gt;"",X380&lt;&gt;""),AF380-N(AG380)-X380,"")</f>
        <v/>
      </c>
      <c r="AJ380" s="20" t="str">
        <f aca="false">IF(AND(AI380&lt;&gt;"",N(AE380)&gt;0),AI380/AE380,"")</f>
        <v/>
      </c>
      <c r="AK380" s="20" t="str">
        <f aca="false">IF(AND(AI380&lt;&gt;"",N(X380)&gt;0),AI380/X380,"")</f>
        <v/>
      </c>
      <c r="AL380" s="21" t="str">
        <f aca="false">IF(AND(AC380="Sold",AD380&lt;&gt;"",Z380&lt;&gt;""),AD380-Z380,"")</f>
        <v/>
      </c>
      <c r="AM380" s="20" t="str">
        <f aca="false">IF(AND(AC380="Sold",N(AA380)&gt;0,AE380&lt;&gt;""),1-AE380/AA380,"")</f>
        <v/>
      </c>
      <c r="AN380" s="21" t="str">
        <f aca="true">IF(AND(AC380&lt;&gt;"Sold",AC380&lt;&gt;"",Z380&lt;&gt;""),TODAY()-Z380,"")</f>
        <v/>
      </c>
      <c r="AO380" s="4"/>
      <c r="AP380" s="4"/>
    </row>
    <row r="381" customFormat="false" ht="1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14"/>
      <c r="O381" s="15"/>
      <c r="P381" s="16"/>
      <c r="Q381" s="4"/>
      <c r="R381" s="17"/>
      <c r="S381" s="18" t="str">
        <f aca="false">IF(OR(P381="",R381=""),"",P381*R381)</f>
        <v/>
      </c>
      <c r="T381" s="14"/>
      <c r="U381" s="14"/>
      <c r="V381" s="14"/>
      <c r="W381" s="14"/>
      <c r="X381" s="18" t="str">
        <f aca="false">IF(S381="","",S381+N(T381)+N(U381)+N(V381)+N(W381))</f>
        <v/>
      </c>
      <c r="Y381" s="4"/>
      <c r="Z381" s="15"/>
      <c r="AA381" s="14"/>
      <c r="AB381" s="19"/>
      <c r="AC381" s="4"/>
      <c r="AD381" s="15"/>
      <c r="AE381" s="14"/>
      <c r="AF381" s="14"/>
      <c r="AG381" s="14"/>
      <c r="AH381" s="18" t="str">
        <f aca="false">IF(AND(AC381="Sold",AE381&lt;&gt;"",AF381&lt;&gt;""),AE381-AF381,"")</f>
        <v/>
      </c>
      <c r="AI381" s="18" t="str">
        <f aca="false">IF(AND(AC381="Sold",AF381&lt;&gt;"",X381&lt;&gt;""),AF381-N(AG381)-X381,"")</f>
        <v/>
      </c>
      <c r="AJ381" s="20" t="str">
        <f aca="false">IF(AND(AI381&lt;&gt;"",N(AE381)&gt;0),AI381/AE381,"")</f>
        <v/>
      </c>
      <c r="AK381" s="20" t="str">
        <f aca="false">IF(AND(AI381&lt;&gt;"",N(X381)&gt;0),AI381/X381,"")</f>
        <v/>
      </c>
      <c r="AL381" s="21" t="str">
        <f aca="false">IF(AND(AC381="Sold",AD381&lt;&gt;"",Z381&lt;&gt;""),AD381-Z381,"")</f>
        <v/>
      </c>
      <c r="AM381" s="20" t="str">
        <f aca="false">IF(AND(AC381="Sold",N(AA381)&gt;0,AE381&lt;&gt;""),1-AE381/AA381,"")</f>
        <v/>
      </c>
      <c r="AN381" s="21" t="str">
        <f aca="true">IF(AND(AC381&lt;&gt;"Sold",AC381&lt;&gt;"",Z381&lt;&gt;""),TODAY()-Z381,"")</f>
        <v/>
      </c>
      <c r="AO381" s="4"/>
      <c r="AP381" s="4"/>
    </row>
    <row r="382" customFormat="false" ht="1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14"/>
      <c r="O382" s="15"/>
      <c r="P382" s="16"/>
      <c r="Q382" s="4"/>
      <c r="R382" s="17"/>
      <c r="S382" s="18" t="str">
        <f aca="false">IF(OR(P382="",R382=""),"",P382*R382)</f>
        <v/>
      </c>
      <c r="T382" s="14"/>
      <c r="U382" s="14"/>
      <c r="V382" s="14"/>
      <c r="W382" s="14"/>
      <c r="X382" s="18" t="str">
        <f aca="false">IF(S382="","",S382+N(T382)+N(U382)+N(V382)+N(W382))</f>
        <v/>
      </c>
      <c r="Y382" s="4"/>
      <c r="Z382" s="15"/>
      <c r="AA382" s="14"/>
      <c r="AB382" s="19"/>
      <c r="AC382" s="4"/>
      <c r="AD382" s="15"/>
      <c r="AE382" s="14"/>
      <c r="AF382" s="14"/>
      <c r="AG382" s="14"/>
      <c r="AH382" s="18" t="str">
        <f aca="false">IF(AND(AC382="Sold",AE382&lt;&gt;"",AF382&lt;&gt;""),AE382-AF382,"")</f>
        <v/>
      </c>
      <c r="AI382" s="18" t="str">
        <f aca="false">IF(AND(AC382="Sold",AF382&lt;&gt;"",X382&lt;&gt;""),AF382-N(AG382)-X382,"")</f>
        <v/>
      </c>
      <c r="AJ382" s="20" t="str">
        <f aca="false">IF(AND(AI382&lt;&gt;"",N(AE382)&gt;0),AI382/AE382,"")</f>
        <v/>
      </c>
      <c r="AK382" s="20" t="str">
        <f aca="false">IF(AND(AI382&lt;&gt;"",N(X382)&gt;0),AI382/X382,"")</f>
        <v/>
      </c>
      <c r="AL382" s="21" t="str">
        <f aca="false">IF(AND(AC382="Sold",AD382&lt;&gt;"",Z382&lt;&gt;""),AD382-Z382,"")</f>
        <v/>
      </c>
      <c r="AM382" s="20" t="str">
        <f aca="false">IF(AND(AC382="Sold",N(AA382)&gt;0,AE382&lt;&gt;""),1-AE382/AA382,"")</f>
        <v/>
      </c>
      <c r="AN382" s="21" t="str">
        <f aca="true">IF(AND(AC382&lt;&gt;"Sold",AC382&lt;&gt;"",Z382&lt;&gt;""),TODAY()-Z382,"")</f>
        <v/>
      </c>
      <c r="AO382" s="4"/>
      <c r="AP382" s="4"/>
    </row>
    <row r="383" customFormat="false" ht="1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14"/>
      <c r="O383" s="15"/>
      <c r="P383" s="16"/>
      <c r="Q383" s="4"/>
      <c r="R383" s="17"/>
      <c r="S383" s="18" t="str">
        <f aca="false">IF(OR(P383="",R383=""),"",P383*R383)</f>
        <v/>
      </c>
      <c r="T383" s="14"/>
      <c r="U383" s="14"/>
      <c r="V383" s="14"/>
      <c r="W383" s="14"/>
      <c r="X383" s="18" t="str">
        <f aca="false">IF(S383="","",S383+N(T383)+N(U383)+N(V383)+N(W383))</f>
        <v/>
      </c>
      <c r="Y383" s="4"/>
      <c r="Z383" s="15"/>
      <c r="AA383" s="14"/>
      <c r="AB383" s="19"/>
      <c r="AC383" s="4"/>
      <c r="AD383" s="15"/>
      <c r="AE383" s="14"/>
      <c r="AF383" s="14"/>
      <c r="AG383" s="14"/>
      <c r="AH383" s="18" t="str">
        <f aca="false">IF(AND(AC383="Sold",AE383&lt;&gt;"",AF383&lt;&gt;""),AE383-AF383,"")</f>
        <v/>
      </c>
      <c r="AI383" s="18" t="str">
        <f aca="false">IF(AND(AC383="Sold",AF383&lt;&gt;"",X383&lt;&gt;""),AF383-N(AG383)-X383,"")</f>
        <v/>
      </c>
      <c r="AJ383" s="20" t="str">
        <f aca="false">IF(AND(AI383&lt;&gt;"",N(AE383)&gt;0),AI383/AE383,"")</f>
        <v/>
      </c>
      <c r="AK383" s="20" t="str">
        <f aca="false">IF(AND(AI383&lt;&gt;"",N(X383)&gt;0),AI383/X383,"")</f>
        <v/>
      </c>
      <c r="AL383" s="21" t="str">
        <f aca="false">IF(AND(AC383="Sold",AD383&lt;&gt;"",Z383&lt;&gt;""),AD383-Z383,"")</f>
        <v/>
      </c>
      <c r="AM383" s="20" t="str">
        <f aca="false">IF(AND(AC383="Sold",N(AA383)&gt;0,AE383&lt;&gt;""),1-AE383/AA383,"")</f>
        <v/>
      </c>
      <c r="AN383" s="21" t="str">
        <f aca="true">IF(AND(AC383&lt;&gt;"Sold",AC383&lt;&gt;"",Z383&lt;&gt;""),TODAY()-Z383,"")</f>
        <v/>
      </c>
      <c r="AO383" s="4"/>
      <c r="AP383" s="4"/>
    </row>
    <row r="384" customFormat="false" ht="1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14"/>
      <c r="O384" s="15"/>
      <c r="P384" s="16"/>
      <c r="Q384" s="4"/>
      <c r="R384" s="17"/>
      <c r="S384" s="18" t="str">
        <f aca="false">IF(OR(P384="",R384=""),"",P384*R384)</f>
        <v/>
      </c>
      <c r="T384" s="14"/>
      <c r="U384" s="14"/>
      <c r="V384" s="14"/>
      <c r="W384" s="14"/>
      <c r="X384" s="18" t="str">
        <f aca="false">IF(S384="","",S384+N(T384)+N(U384)+N(V384)+N(W384))</f>
        <v/>
      </c>
      <c r="Y384" s="4"/>
      <c r="Z384" s="15"/>
      <c r="AA384" s="14"/>
      <c r="AB384" s="19"/>
      <c r="AC384" s="4"/>
      <c r="AD384" s="15"/>
      <c r="AE384" s="14"/>
      <c r="AF384" s="14"/>
      <c r="AG384" s="14"/>
      <c r="AH384" s="18" t="str">
        <f aca="false">IF(AND(AC384="Sold",AE384&lt;&gt;"",AF384&lt;&gt;""),AE384-AF384,"")</f>
        <v/>
      </c>
      <c r="AI384" s="18" t="str">
        <f aca="false">IF(AND(AC384="Sold",AF384&lt;&gt;"",X384&lt;&gt;""),AF384-N(AG384)-X384,"")</f>
        <v/>
      </c>
      <c r="AJ384" s="20" t="str">
        <f aca="false">IF(AND(AI384&lt;&gt;"",N(AE384)&gt;0),AI384/AE384,"")</f>
        <v/>
      </c>
      <c r="AK384" s="20" t="str">
        <f aca="false">IF(AND(AI384&lt;&gt;"",N(X384)&gt;0),AI384/X384,"")</f>
        <v/>
      </c>
      <c r="AL384" s="21" t="str">
        <f aca="false">IF(AND(AC384="Sold",AD384&lt;&gt;"",Z384&lt;&gt;""),AD384-Z384,"")</f>
        <v/>
      </c>
      <c r="AM384" s="20" t="str">
        <f aca="false">IF(AND(AC384="Sold",N(AA384)&gt;0,AE384&lt;&gt;""),1-AE384/AA384,"")</f>
        <v/>
      </c>
      <c r="AN384" s="21" t="str">
        <f aca="true">IF(AND(AC384&lt;&gt;"Sold",AC384&lt;&gt;"",Z384&lt;&gt;""),TODAY()-Z384,"")</f>
        <v/>
      </c>
      <c r="AO384" s="4"/>
      <c r="AP384" s="4"/>
    </row>
    <row r="385" customFormat="false" ht="1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14"/>
      <c r="O385" s="15"/>
      <c r="P385" s="16"/>
      <c r="Q385" s="4"/>
      <c r="R385" s="17"/>
      <c r="S385" s="18" t="str">
        <f aca="false">IF(OR(P385="",R385=""),"",P385*R385)</f>
        <v/>
      </c>
      <c r="T385" s="14"/>
      <c r="U385" s="14"/>
      <c r="V385" s="14"/>
      <c r="W385" s="14"/>
      <c r="X385" s="18" t="str">
        <f aca="false">IF(S385="","",S385+N(T385)+N(U385)+N(V385)+N(W385))</f>
        <v/>
      </c>
      <c r="Y385" s="4"/>
      <c r="Z385" s="15"/>
      <c r="AA385" s="14"/>
      <c r="AB385" s="19"/>
      <c r="AC385" s="4"/>
      <c r="AD385" s="15"/>
      <c r="AE385" s="14"/>
      <c r="AF385" s="14"/>
      <c r="AG385" s="14"/>
      <c r="AH385" s="18" t="str">
        <f aca="false">IF(AND(AC385="Sold",AE385&lt;&gt;"",AF385&lt;&gt;""),AE385-AF385,"")</f>
        <v/>
      </c>
      <c r="AI385" s="18" t="str">
        <f aca="false">IF(AND(AC385="Sold",AF385&lt;&gt;"",X385&lt;&gt;""),AF385-N(AG385)-X385,"")</f>
        <v/>
      </c>
      <c r="AJ385" s="20" t="str">
        <f aca="false">IF(AND(AI385&lt;&gt;"",N(AE385)&gt;0),AI385/AE385,"")</f>
        <v/>
      </c>
      <c r="AK385" s="20" t="str">
        <f aca="false">IF(AND(AI385&lt;&gt;"",N(X385)&gt;0),AI385/X385,"")</f>
        <v/>
      </c>
      <c r="AL385" s="21" t="str">
        <f aca="false">IF(AND(AC385="Sold",AD385&lt;&gt;"",Z385&lt;&gt;""),AD385-Z385,"")</f>
        <v/>
      </c>
      <c r="AM385" s="20" t="str">
        <f aca="false">IF(AND(AC385="Sold",N(AA385)&gt;0,AE385&lt;&gt;""),1-AE385/AA385,"")</f>
        <v/>
      </c>
      <c r="AN385" s="21" t="str">
        <f aca="true">IF(AND(AC385&lt;&gt;"Sold",AC385&lt;&gt;"",Z385&lt;&gt;""),TODAY()-Z385,"")</f>
        <v/>
      </c>
      <c r="AO385" s="4"/>
      <c r="AP385" s="4"/>
    </row>
    <row r="386" customFormat="false" ht="1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14"/>
      <c r="O386" s="15"/>
      <c r="P386" s="16"/>
      <c r="Q386" s="4"/>
      <c r="R386" s="17"/>
      <c r="S386" s="18" t="str">
        <f aca="false">IF(OR(P386="",R386=""),"",P386*R386)</f>
        <v/>
      </c>
      <c r="T386" s="14"/>
      <c r="U386" s="14"/>
      <c r="V386" s="14"/>
      <c r="W386" s="14"/>
      <c r="X386" s="18" t="str">
        <f aca="false">IF(S386="","",S386+N(T386)+N(U386)+N(V386)+N(W386))</f>
        <v/>
      </c>
      <c r="Y386" s="4"/>
      <c r="Z386" s="15"/>
      <c r="AA386" s="14"/>
      <c r="AB386" s="19"/>
      <c r="AC386" s="4"/>
      <c r="AD386" s="15"/>
      <c r="AE386" s="14"/>
      <c r="AF386" s="14"/>
      <c r="AG386" s="14"/>
      <c r="AH386" s="18" t="str">
        <f aca="false">IF(AND(AC386="Sold",AE386&lt;&gt;"",AF386&lt;&gt;""),AE386-AF386,"")</f>
        <v/>
      </c>
      <c r="AI386" s="18" t="str">
        <f aca="false">IF(AND(AC386="Sold",AF386&lt;&gt;"",X386&lt;&gt;""),AF386-N(AG386)-X386,"")</f>
        <v/>
      </c>
      <c r="AJ386" s="20" t="str">
        <f aca="false">IF(AND(AI386&lt;&gt;"",N(AE386)&gt;0),AI386/AE386,"")</f>
        <v/>
      </c>
      <c r="AK386" s="20" t="str">
        <f aca="false">IF(AND(AI386&lt;&gt;"",N(X386)&gt;0),AI386/X386,"")</f>
        <v/>
      </c>
      <c r="AL386" s="21" t="str">
        <f aca="false">IF(AND(AC386="Sold",AD386&lt;&gt;"",Z386&lt;&gt;""),AD386-Z386,"")</f>
        <v/>
      </c>
      <c r="AM386" s="20" t="str">
        <f aca="false">IF(AND(AC386="Sold",N(AA386)&gt;0,AE386&lt;&gt;""),1-AE386/AA386,"")</f>
        <v/>
      </c>
      <c r="AN386" s="21" t="str">
        <f aca="true">IF(AND(AC386&lt;&gt;"Sold",AC386&lt;&gt;"",Z386&lt;&gt;""),TODAY()-Z386,"")</f>
        <v/>
      </c>
      <c r="AO386" s="4"/>
      <c r="AP386" s="4"/>
    </row>
    <row r="387" customFormat="false" ht="1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14"/>
      <c r="O387" s="15"/>
      <c r="P387" s="16"/>
      <c r="Q387" s="4"/>
      <c r="R387" s="17"/>
      <c r="S387" s="18" t="str">
        <f aca="false">IF(OR(P387="",R387=""),"",P387*R387)</f>
        <v/>
      </c>
      <c r="T387" s="14"/>
      <c r="U387" s="14"/>
      <c r="V387" s="14"/>
      <c r="W387" s="14"/>
      <c r="X387" s="18" t="str">
        <f aca="false">IF(S387="","",S387+N(T387)+N(U387)+N(V387)+N(W387))</f>
        <v/>
      </c>
      <c r="Y387" s="4"/>
      <c r="Z387" s="15"/>
      <c r="AA387" s="14"/>
      <c r="AB387" s="19"/>
      <c r="AC387" s="4"/>
      <c r="AD387" s="15"/>
      <c r="AE387" s="14"/>
      <c r="AF387" s="14"/>
      <c r="AG387" s="14"/>
      <c r="AH387" s="18" t="str">
        <f aca="false">IF(AND(AC387="Sold",AE387&lt;&gt;"",AF387&lt;&gt;""),AE387-AF387,"")</f>
        <v/>
      </c>
      <c r="AI387" s="18" t="str">
        <f aca="false">IF(AND(AC387="Sold",AF387&lt;&gt;"",X387&lt;&gt;""),AF387-N(AG387)-X387,"")</f>
        <v/>
      </c>
      <c r="AJ387" s="20" t="str">
        <f aca="false">IF(AND(AI387&lt;&gt;"",N(AE387)&gt;0),AI387/AE387,"")</f>
        <v/>
      </c>
      <c r="AK387" s="20" t="str">
        <f aca="false">IF(AND(AI387&lt;&gt;"",N(X387)&gt;0),AI387/X387,"")</f>
        <v/>
      </c>
      <c r="AL387" s="21" t="str">
        <f aca="false">IF(AND(AC387="Sold",AD387&lt;&gt;"",Z387&lt;&gt;""),AD387-Z387,"")</f>
        <v/>
      </c>
      <c r="AM387" s="20" t="str">
        <f aca="false">IF(AND(AC387="Sold",N(AA387)&gt;0,AE387&lt;&gt;""),1-AE387/AA387,"")</f>
        <v/>
      </c>
      <c r="AN387" s="21" t="str">
        <f aca="true">IF(AND(AC387&lt;&gt;"Sold",AC387&lt;&gt;"",Z387&lt;&gt;""),TODAY()-Z387,"")</f>
        <v/>
      </c>
      <c r="AO387" s="4"/>
      <c r="AP387" s="4"/>
    </row>
    <row r="388" customFormat="false" ht="1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14"/>
      <c r="O388" s="15"/>
      <c r="P388" s="16"/>
      <c r="Q388" s="4"/>
      <c r="R388" s="17"/>
      <c r="S388" s="18" t="str">
        <f aca="false">IF(OR(P388="",R388=""),"",P388*R388)</f>
        <v/>
      </c>
      <c r="T388" s="14"/>
      <c r="U388" s="14"/>
      <c r="V388" s="14"/>
      <c r="W388" s="14"/>
      <c r="X388" s="18" t="str">
        <f aca="false">IF(S388="","",S388+N(T388)+N(U388)+N(V388)+N(W388))</f>
        <v/>
      </c>
      <c r="Y388" s="4"/>
      <c r="Z388" s="15"/>
      <c r="AA388" s="14"/>
      <c r="AB388" s="19"/>
      <c r="AC388" s="4"/>
      <c r="AD388" s="15"/>
      <c r="AE388" s="14"/>
      <c r="AF388" s="14"/>
      <c r="AG388" s="14"/>
      <c r="AH388" s="18" t="str">
        <f aca="false">IF(AND(AC388="Sold",AE388&lt;&gt;"",AF388&lt;&gt;""),AE388-AF388,"")</f>
        <v/>
      </c>
      <c r="AI388" s="18" t="str">
        <f aca="false">IF(AND(AC388="Sold",AF388&lt;&gt;"",X388&lt;&gt;""),AF388-N(AG388)-X388,"")</f>
        <v/>
      </c>
      <c r="AJ388" s="20" t="str">
        <f aca="false">IF(AND(AI388&lt;&gt;"",N(AE388)&gt;0),AI388/AE388,"")</f>
        <v/>
      </c>
      <c r="AK388" s="20" t="str">
        <f aca="false">IF(AND(AI388&lt;&gt;"",N(X388)&gt;0),AI388/X388,"")</f>
        <v/>
      </c>
      <c r="AL388" s="21" t="str">
        <f aca="false">IF(AND(AC388="Sold",AD388&lt;&gt;"",Z388&lt;&gt;""),AD388-Z388,"")</f>
        <v/>
      </c>
      <c r="AM388" s="20" t="str">
        <f aca="false">IF(AND(AC388="Sold",N(AA388)&gt;0,AE388&lt;&gt;""),1-AE388/AA388,"")</f>
        <v/>
      </c>
      <c r="AN388" s="21" t="str">
        <f aca="true">IF(AND(AC388&lt;&gt;"Sold",AC388&lt;&gt;"",Z388&lt;&gt;""),TODAY()-Z388,"")</f>
        <v/>
      </c>
      <c r="AO388" s="4"/>
      <c r="AP388" s="4"/>
    </row>
    <row r="389" customFormat="false" ht="1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14"/>
      <c r="O389" s="15"/>
      <c r="P389" s="16"/>
      <c r="Q389" s="4"/>
      <c r="R389" s="17"/>
      <c r="S389" s="18" t="str">
        <f aca="false">IF(OR(P389="",R389=""),"",P389*R389)</f>
        <v/>
      </c>
      <c r="T389" s="14"/>
      <c r="U389" s="14"/>
      <c r="V389" s="14"/>
      <c r="W389" s="14"/>
      <c r="X389" s="18" t="str">
        <f aca="false">IF(S389="","",S389+N(T389)+N(U389)+N(V389)+N(W389))</f>
        <v/>
      </c>
      <c r="Y389" s="4"/>
      <c r="Z389" s="15"/>
      <c r="AA389" s="14"/>
      <c r="AB389" s="19"/>
      <c r="AC389" s="4"/>
      <c r="AD389" s="15"/>
      <c r="AE389" s="14"/>
      <c r="AF389" s="14"/>
      <c r="AG389" s="14"/>
      <c r="AH389" s="18" t="str">
        <f aca="false">IF(AND(AC389="Sold",AE389&lt;&gt;"",AF389&lt;&gt;""),AE389-AF389,"")</f>
        <v/>
      </c>
      <c r="AI389" s="18" t="str">
        <f aca="false">IF(AND(AC389="Sold",AF389&lt;&gt;"",X389&lt;&gt;""),AF389-N(AG389)-X389,"")</f>
        <v/>
      </c>
      <c r="AJ389" s="20" t="str">
        <f aca="false">IF(AND(AI389&lt;&gt;"",N(AE389)&gt;0),AI389/AE389,"")</f>
        <v/>
      </c>
      <c r="AK389" s="20" t="str">
        <f aca="false">IF(AND(AI389&lt;&gt;"",N(X389)&gt;0),AI389/X389,"")</f>
        <v/>
      </c>
      <c r="AL389" s="21" t="str">
        <f aca="false">IF(AND(AC389="Sold",AD389&lt;&gt;"",Z389&lt;&gt;""),AD389-Z389,"")</f>
        <v/>
      </c>
      <c r="AM389" s="20" t="str">
        <f aca="false">IF(AND(AC389="Sold",N(AA389)&gt;0,AE389&lt;&gt;""),1-AE389/AA389,"")</f>
        <v/>
      </c>
      <c r="AN389" s="21" t="str">
        <f aca="true">IF(AND(AC389&lt;&gt;"Sold",AC389&lt;&gt;"",Z389&lt;&gt;""),TODAY()-Z389,"")</f>
        <v/>
      </c>
      <c r="AO389" s="4"/>
      <c r="AP389" s="4"/>
    </row>
    <row r="390" customFormat="false" ht="1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14"/>
      <c r="O390" s="15"/>
      <c r="P390" s="16"/>
      <c r="Q390" s="4"/>
      <c r="R390" s="17"/>
      <c r="S390" s="18" t="str">
        <f aca="false">IF(OR(P390="",R390=""),"",P390*R390)</f>
        <v/>
      </c>
      <c r="T390" s="14"/>
      <c r="U390" s="14"/>
      <c r="V390" s="14"/>
      <c r="W390" s="14"/>
      <c r="X390" s="18" t="str">
        <f aca="false">IF(S390="","",S390+N(T390)+N(U390)+N(V390)+N(W390))</f>
        <v/>
      </c>
      <c r="Y390" s="4"/>
      <c r="Z390" s="15"/>
      <c r="AA390" s="14"/>
      <c r="AB390" s="19"/>
      <c r="AC390" s="4"/>
      <c r="AD390" s="15"/>
      <c r="AE390" s="14"/>
      <c r="AF390" s="14"/>
      <c r="AG390" s="14"/>
      <c r="AH390" s="18" t="str">
        <f aca="false">IF(AND(AC390="Sold",AE390&lt;&gt;"",AF390&lt;&gt;""),AE390-AF390,"")</f>
        <v/>
      </c>
      <c r="AI390" s="18" t="str">
        <f aca="false">IF(AND(AC390="Sold",AF390&lt;&gt;"",X390&lt;&gt;""),AF390-N(AG390)-X390,"")</f>
        <v/>
      </c>
      <c r="AJ390" s="20" t="str">
        <f aca="false">IF(AND(AI390&lt;&gt;"",N(AE390)&gt;0),AI390/AE390,"")</f>
        <v/>
      </c>
      <c r="AK390" s="20" t="str">
        <f aca="false">IF(AND(AI390&lt;&gt;"",N(X390)&gt;0),AI390/X390,"")</f>
        <v/>
      </c>
      <c r="AL390" s="21" t="str">
        <f aca="false">IF(AND(AC390="Sold",AD390&lt;&gt;"",Z390&lt;&gt;""),AD390-Z390,"")</f>
        <v/>
      </c>
      <c r="AM390" s="20" t="str">
        <f aca="false">IF(AND(AC390="Sold",N(AA390)&gt;0,AE390&lt;&gt;""),1-AE390/AA390,"")</f>
        <v/>
      </c>
      <c r="AN390" s="21" t="str">
        <f aca="true">IF(AND(AC390&lt;&gt;"Sold",AC390&lt;&gt;"",Z390&lt;&gt;""),TODAY()-Z390,"")</f>
        <v/>
      </c>
      <c r="AO390" s="4"/>
      <c r="AP390" s="4"/>
    </row>
    <row r="391" customFormat="false" ht="1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14"/>
      <c r="O391" s="15"/>
      <c r="P391" s="16"/>
      <c r="Q391" s="4"/>
      <c r="R391" s="17"/>
      <c r="S391" s="18" t="str">
        <f aca="false">IF(OR(P391="",R391=""),"",P391*R391)</f>
        <v/>
      </c>
      <c r="T391" s="14"/>
      <c r="U391" s="14"/>
      <c r="V391" s="14"/>
      <c r="W391" s="14"/>
      <c r="X391" s="18" t="str">
        <f aca="false">IF(S391="","",S391+N(T391)+N(U391)+N(V391)+N(W391))</f>
        <v/>
      </c>
      <c r="Y391" s="4"/>
      <c r="Z391" s="15"/>
      <c r="AA391" s="14"/>
      <c r="AB391" s="19"/>
      <c r="AC391" s="4"/>
      <c r="AD391" s="15"/>
      <c r="AE391" s="14"/>
      <c r="AF391" s="14"/>
      <c r="AG391" s="14"/>
      <c r="AH391" s="18" t="str">
        <f aca="false">IF(AND(AC391="Sold",AE391&lt;&gt;"",AF391&lt;&gt;""),AE391-AF391,"")</f>
        <v/>
      </c>
      <c r="AI391" s="18" t="str">
        <f aca="false">IF(AND(AC391="Sold",AF391&lt;&gt;"",X391&lt;&gt;""),AF391-N(AG391)-X391,"")</f>
        <v/>
      </c>
      <c r="AJ391" s="20" t="str">
        <f aca="false">IF(AND(AI391&lt;&gt;"",N(AE391)&gt;0),AI391/AE391,"")</f>
        <v/>
      </c>
      <c r="AK391" s="20" t="str">
        <f aca="false">IF(AND(AI391&lt;&gt;"",N(X391)&gt;0),AI391/X391,"")</f>
        <v/>
      </c>
      <c r="AL391" s="21" t="str">
        <f aca="false">IF(AND(AC391="Sold",AD391&lt;&gt;"",Z391&lt;&gt;""),AD391-Z391,"")</f>
        <v/>
      </c>
      <c r="AM391" s="20" t="str">
        <f aca="false">IF(AND(AC391="Sold",N(AA391)&gt;0,AE391&lt;&gt;""),1-AE391/AA391,"")</f>
        <v/>
      </c>
      <c r="AN391" s="21" t="str">
        <f aca="true">IF(AND(AC391&lt;&gt;"Sold",AC391&lt;&gt;"",Z391&lt;&gt;""),TODAY()-Z391,"")</f>
        <v/>
      </c>
      <c r="AO391" s="4"/>
      <c r="AP391" s="4"/>
    </row>
    <row r="392" customFormat="false" ht="1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14"/>
      <c r="O392" s="15"/>
      <c r="P392" s="16"/>
      <c r="Q392" s="4"/>
      <c r="R392" s="17"/>
      <c r="S392" s="18" t="str">
        <f aca="false">IF(OR(P392="",R392=""),"",P392*R392)</f>
        <v/>
      </c>
      <c r="T392" s="14"/>
      <c r="U392" s="14"/>
      <c r="V392" s="14"/>
      <c r="W392" s="14"/>
      <c r="X392" s="18" t="str">
        <f aca="false">IF(S392="","",S392+N(T392)+N(U392)+N(V392)+N(W392))</f>
        <v/>
      </c>
      <c r="Y392" s="4"/>
      <c r="Z392" s="15"/>
      <c r="AA392" s="14"/>
      <c r="AB392" s="19"/>
      <c r="AC392" s="4"/>
      <c r="AD392" s="15"/>
      <c r="AE392" s="14"/>
      <c r="AF392" s="14"/>
      <c r="AG392" s="14"/>
      <c r="AH392" s="18" t="str">
        <f aca="false">IF(AND(AC392="Sold",AE392&lt;&gt;"",AF392&lt;&gt;""),AE392-AF392,"")</f>
        <v/>
      </c>
      <c r="AI392" s="18" t="str">
        <f aca="false">IF(AND(AC392="Sold",AF392&lt;&gt;"",X392&lt;&gt;""),AF392-N(AG392)-X392,"")</f>
        <v/>
      </c>
      <c r="AJ392" s="20" t="str">
        <f aca="false">IF(AND(AI392&lt;&gt;"",N(AE392)&gt;0),AI392/AE392,"")</f>
        <v/>
      </c>
      <c r="AK392" s="20" t="str">
        <f aca="false">IF(AND(AI392&lt;&gt;"",N(X392)&gt;0),AI392/X392,"")</f>
        <v/>
      </c>
      <c r="AL392" s="21" t="str">
        <f aca="false">IF(AND(AC392="Sold",AD392&lt;&gt;"",Z392&lt;&gt;""),AD392-Z392,"")</f>
        <v/>
      </c>
      <c r="AM392" s="20" t="str">
        <f aca="false">IF(AND(AC392="Sold",N(AA392)&gt;0,AE392&lt;&gt;""),1-AE392/AA392,"")</f>
        <v/>
      </c>
      <c r="AN392" s="21" t="str">
        <f aca="true">IF(AND(AC392&lt;&gt;"Sold",AC392&lt;&gt;"",Z392&lt;&gt;""),TODAY()-Z392,"")</f>
        <v/>
      </c>
      <c r="AO392" s="4"/>
      <c r="AP392" s="4"/>
    </row>
    <row r="393" customFormat="false" ht="1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14"/>
      <c r="O393" s="15"/>
      <c r="P393" s="16"/>
      <c r="Q393" s="4"/>
      <c r="R393" s="17"/>
      <c r="S393" s="18" t="str">
        <f aca="false">IF(OR(P393="",R393=""),"",P393*R393)</f>
        <v/>
      </c>
      <c r="T393" s="14"/>
      <c r="U393" s="14"/>
      <c r="V393" s="14"/>
      <c r="W393" s="14"/>
      <c r="X393" s="18" t="str">
        <f aca="false">IF(S393="","",S393+N(T393)+N(U393)+N(V393)+N(W393))</f>
        <v/>
      </c>
      <c r="Y393" s="4"/>
      <c r="Z393" s="15"/>
      <c r="AA393" s="14"/>
      <c r="AB393" s="19"/>
      <c r="AC393" s="4"/>
      <c r="AD393" s="15"/>
      <c r="AE393" s="14"/>
      <c r="AF393" s="14"/>
      <c r="AG393" s="14"/>
      <c r="AH393" s="18" t="str">
        <f aca="false">IF(AND(AC393="Sold",AE393&lt;&gt;"",AF393&lt;&gt;""),AE393-AF393,"")</f>
        <v/>
      </c>
      <c r="AI393" s="18" t="str">
        <f aca="false">IF(AND(AC393="Sold",AF393&lt;&gt;"",X393&lt;&gt;""),AF393-N(AG393)-X393,"")</f>
        <v/>
      </c>
      <c r="AJ393" s="20" t="str">
        <f aca="false">IF(AND(AI393&lt;&gt;"",N(AE393)&gt;0),AI393/AE393,"")</f>
        <v/>
      </c>
      <c r="AK393" s="20" t="str">
        <f aca="false">IF(AND(AI393&lt;&gt;"",N(X393)&gt;0),AI393/X393,"")</f>
        <v/>
      </c>
      <c r="AL393" s="21" t="str">
        <f aca="false">IF(AND(AC393="Sold",AD393&lt;&gt;"",Z393&lt;&gt;""),AD393-Z393,"")</f>
        <v/>
      </c>
      <c r="AM393" s="20" t="str">
        <f aca="false">IF(AND(AC393="Sold",N(AA393)&gt;0,AE393&lt;&gt;""),1-AE393/AA393,"")</f>
        <v/>
      </c>
      <c r="AN393" s="21" t="str">
        <f aca="true">IF(AND(AC393&lt;&gt;"Sold",AC393&lt;&gt;"",Z393&lt;&gt;""),TODAY()-Z393,"")</f>
        <v/>
      </c>
      <c r="AO393" s="4"/>
      <c r="AP393" s="4"/>
    </row>
    <row r="394" customFormat="false" ht="1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14"/>
      <c r="O394" s="15"/>
      <c r="P394" s="16"/>
      <c r="Q394" s="4"/>
      <c r="R394" s="17"/>
      <c r="S394" s="18" t="str">
        <f aca="false">IF(OR(P394="",R394=""),"",P394*R394)</f>
        <v/>
      </c>
      <c r="T394" s="14"/>
      <c r="U394" s="14"/>
      <c r="V394" s="14"/>
      <c r="W394" s="14"/>
      <c r="X394" s="18" t="str">
        <f aca="false">IF(S394="","",S394+N(T394)+N(U394)+N(V394)+N(W394))</f>
        <v/>
      </c>
      <c r="Y394" s="4"/>
      <c r="Z394" s="15"/>
      <c r="AA394" s="14"/>
      <c r="AB394" s="19"/>
      <c r="AC394" s="4"/>
      <c r="AD394" s="15"/>
      <c r="AE394" s="14"/>
      <c r="AF394" s="14"/>
      <c r="AG394" s="14"/>
      <c r="AH394" s="18" t="str">
        <f aca="false">IF(AND(AC394="Sold",AE394&lt;&gt;"",AF394&lt;&gt;""),AE394-AF394,"")</f>
        <v/>
      </c>
      <c r="AI394" s="18" t="str">
        <f aca="false">IF(AND(AC394="Sold",AF394&lt;&gt;"",X394&lt;&gt;""),AF394-N(AG394)-X394,"")</f>
        <v/>
      </c>
      <c r="AJ394" s="20" t="str">
        <f aca="false">IF(AND(AI394&lt;&gt;"",N(AE394)&gt;0),AI394/AE394,"")</f>
        <v/>
      </c>
      <c r="AK394" s="20" t="str">
        <f aca="false">IF(AND(AI394&lt;&gt;"",N(X394)&gt;0),AI394/X394,"")</f>
        <v/>
      </c>
      <c r="AL394" s="21" t="str">
        <f aca="false">IF(AND(AC394="Sold",AD394&lt;&gt;"",Z394&lt;&gt;""),AD394-Z394,"")</f>
        <v/>
      </c>
      <c r="AM394" s="20" t="str">
        <f aca="false">IF(AND(AC394="Sold",N(AA394)&gt;0,AE394&lt;&gt;""),1-AE394/AA394,"")</f>
        <v/>
      </c>
      <c r="AN394" s="21" t="str">
        <f aca="true">IF(AND(AC394&lt;&gt;"Sold",AC394&lt;&gt;"",Z394&lt;&gt;""),TODAY()-Z394,"")</f>
        <v/>
      </c>
      <c r="AO394" s="4"/>
      <c r="AP394" s="4"/>
    </row>
    <row r="395" customFormat="false" ht="1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14"/>
      <c r="O395" s="15"/>
      <c r="P395" s="16"/>
      <c r="Q395" s="4"/>
      <c r="R395" s="17"/>
      <c r="S395" s="18" t="str">
        <f aca="false">IF(OR(P395="",R395=""),"",P395*R395)</f>
        <v/>
      </c>
      <c r="T395" s="14"/>
      <c r="U395" s="14"/>
      <c r="V395" s="14"/>
      <c r="W395" s="14"/>
      <c r="X395" s="18" t="str">
        <f aca="false">IF(S395="","",S395+N(T395)+N(U395)+N(V395)+N(W395))</f>
        <v/>
      </c>
      <c r="Y395" s="4"/>
      <c r="Z395" s="15"/>
      <c r="AA395" s="14"/>
      <c r="AB395" s="19"/>
      <c r="AC395" s="4"/>
      <c r="AD395" s="15"/>
      <c r="AE395" s="14"/>
      <c r="AF395" s="14"/>
      <c r="AG395" s="14"/>
      <c r="AH395" s="18" t="str">
        <f aca="false">IF(AND(AC395="Sold",AE395&lt;&gt;"",AF395&lt;&gt;""),AE395-AF395,"")</f>
        <v/>
      </c>
      <c r="AI395" s="18" t="str">
        <f aca="false">IF(AND(AC395="Sold",AF395&lt;&gt;"",X395&lt;&gt;""),AF395-N(AG395)-X395,"")</f>
        <v/>
      </c>
      <c r="AJ395" s="20" t="str">
        <f aca="false">IF(AND(AI395&lt;&gt;"",N(AE395)&gt;0),AI395/AE395,"")</f>
        <v/>
      </c>
      <c r="AK395" s="20" t="str">
        <f aca="false">IF(AND(AI395&lt;&gt;"",N(X395)&gt;0),AI395/X395,"")</f>
        <v/>
      </c>
      <c r="AL395" s="21" t="str">
        <f aca="false">IF(AND(AC395="Sold",AD395&lt;&gt;"",Z395&lt;&gt;""),AD395-Z395,"")</f>
        <v/>
      </c>
      <c r="AM395" s="20" t="str">
        <f aca="false">IF(AND(AC395="Sold",N(AA395)&gt;0,AE395&lt;&gt;""),1-AE395/AA395,"")</f>
        <v/>
      </c>
      <c r="AN395" s="21" t="str">
        <f aca="true">IF(AND(AC395&lt;&gt;"Sold",AC395&lt;&gt;"",Z395&lt;&gt;""),TODAY()-Z395,"")</f>
        <v/>
      </c>
      <c r="AO395" s="4"/>
      <c r="AP395" s="4"/>
    </row>
    <row r="396" customFormat="false" ht="1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14"/>
      <c r="O396" s="15"/>
      <c r="P396" s="16"/>
      <c r="Q396" s="4"/>
      <c r="R396" s="17"/>
      <c r="S396" s="18" t="str">
        <f aca="false">IF(OR(P396="",R396=""),"",P396*R396)</f>
        <v/>
      </c>
      <c r="T396" s="14"/>
      <c r="U396" s="14"/>
      <c r="V396" s="14"/>
      <c r="W396" s="14"/>
      <c r="X396" s="18" t="str">
        <f aca="false">IF(S396="","",S396+N(T396)+N(U396)+N(V396)+N(W396))</f>
        <v/>
      </c>
      <c r="Y396" s="4"/>
      <c r="Z396" s="15"/>
      <c r="AA396" s="14"/>
      <c r="AB396" s="19"/>
      <c r="AC396" s="4"/>
      <c r="AD396" s="15"/>
      <c r="AE396" s="14"/>
      <c r="AF396" s="14"/>
      <c r="AG396" s="14"/>
      <c r="AH396" s="18" t="str">
        <f aca="false">IF(AND(AC396="Sold",AE396&lt;&gt;"",AF396&lt;&gt;""),AE396-AF396,"")</f>
        <v/>
      </c>
      <c r="AI396" s="18" t="str">
        <f aca="false">IF(AND(AC396="Sold",AF396&lt;&gt;"",X396&lt;&gt;""),AF396-N(AG396)-X396,"")</f>
        <v/>
      </c>
      <c r="AJ396" s="20" t="str">
        <f aca="false">IF(AND(AI396&lt;&gt;"",N(AE396)&gt;0),AI396/AE396,"")</f>
        <v/>
      </c>
      <c r="AK396" s="20" t="str">
        <f aca="false">IF(AND(AI396&lt;&gt;"",N(X396)&gt;0),AI396/X396,"")</f>
        <v/>
      </c>
      <c r="AL396" s="21" t="str">
        <f aca="false">IF(AND(AC396="Sold",AD396&lt;&gt;"",Z396&lt;&gt;""),AD396-Z396,"")</f>
        <v/>
      </c>
      <c r="AM396" s="20" t="str">
        <f aca="false">IF(AND(AC396="Sold",N(AA396)&gt;0,AE396&lt;&gt;""),1-AE396/AA396,"")</f>
        <v/>
      </c>
      <c r="AN396" s="21" t="str">
        <f aca="true">IF(AND(AC396&lt;&gt;"Sold",AC396&lt;&gt;"",Z396&lt;&gt;""),TODAY()-Z396,"")</f>
        <v/>
      </c>
      <c r="AO396" s="4"/>
      <c r="AP396" s="4"/>
    </row>
    <row r="397" customFormat="false" ht="1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14"/>
      <c r="O397" s="15"/>
      <c r="P397" s="16"/>
      <c r="Q397" s="4"/>
      <c r="R397" s="17"/>
      <c r="S397" s="18" t="str">
        <f aca="false">IF(OR(P397="",R397=""),"",P397*R397)</f>
        <v/>
      </c>
      <c r="T397" s="14"/>
      <c r="U397" s="14"/>
      <c r="V397" s="14"/>
      <c r="W397" s="14"/>
      <c r="X397" s="18" t="str">
        <f aca="false">IF(S397="","",S397+N(T397)+N(U397)+N(V397)+N(W397))</f>
        <v/>
      </c>
      <c r="Y397" s="4"/>
      <c r="Z397" s="15"/>
      <c r="AA397" s="14"/>
      <c r="AB397" s="19"/>
      <c r="AC397" s="4"/>
      <c r="AD397" s="15"/>
      <c r="AE397" s="14"/>
      <c r="AF397" s="14"/>
      <c r="AG397" s="14"/>
      <c r="AH397" s="18" t="str">
        <f aca="false">IF(AND(AC397="Sold",AE397&lt;&gt;"",AF397&lt;&gt;""),AE397-AF397,"")</f>
        <v/>
      </c>
      <c r="AI397" s="18" t="str">
        <f aca="false">IF(AND(AC397="Sold",AF397&lt;&gt;"",X397&lt;&gt;""),AF397-N(AG397)-X397,"")</f>
        <v/>
      </c>
      <c r="AJ397" s="20" t="str">
        <f aca="false">IF(AND(AI397&lt;&gt;"",N(AE397)&gt;0),AI397/AE397,"")</f>
        <v/>
      </c>
      <c r="AK397" s="20" t="str">
        <f aca="false">IF(AND(AI397&lt;&gt;"",N(X397)&gt;0),AI397/X397,"")</f>
        <v/>
      </c>
      <c r="AL397" s="21" t="str">
        <f aca="false">IF(AND(AC397="Sold",AD397&lt;&gt;"",Z397&lt;&gt;""),AD397-Z397,"")</f>
        <v/>
      </c>
      <c r="AM397" s="20" t="str">
        <f aca="false">IF(AND(AC397="Sold",N(AA397)&gt;0,AE397&lt;&gt;""),1-AE397/AA397,"")</f>
        <v/>
      </c>
      <c r="AN397" s="21" t="str">
        <f aca="true">IF(AND(AC397&lt;&gt;"Sold",AC397&lt;&gt;"",Z397&lt;&gt;""),TODAY()-Z397,"")</f>
        <v/>
      </c>
      <c r="AO397" s="4"/>
      <c r="AP397" s="4"/>
    </row>
    <row r="398" customFormat="false" ht="1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14"/>
      <c r="O398" s="15"/>
      <c r="P398" s="16"/>
      <c r="Q398" s="4"/>
      <c r="R398" s="17"/>
      <c r="S398" s="18" t="str">
        <f aca="false">IF(OR(P398="",R398=""),"",P398*R398)</f>
        <v/>
      </c>
      <c r="T398" s="14"/>
      <c r="U398" s="14"/>
      <c r="V398" s="14"/>
      <c r="W398" s="14"/>
      <c r="X398" s="18" t="str">
        <f aca="false">IF(S398="","",S398+N(T398)+N(U398)+N(V398)+N(W398))</f>
        <v/>
      </c>
      <c r="Y398" s="4"/>
      <c r="Z398" s="15"/>
      <c r="AA398" s="14"/>
      <c r="AB398" s="19"/>
      <c r="AC398" s="4"/>
      <c r="AD398" s="15"/>
      <c r="AE398" s="14"/>
      <c r="AF398" s="14"/>
      <c r="AG398" s="14"/>
      <c r="AH398" s="18" t="str">
        <f aca="false">IF(AND(AC398="Sold",AE398&lt;&gt;"",AF398&lt;&gt;""),AE398-AF398,"")</f>
        <v/>
      </c>
      <c r="AI398" s="18" t="str">
        <f aca="false">IF(AND(AC398="Sold",AF398&lt;&gt;"",X398&lt;&gt;""),AF398-N(AG398)-X398,"")</f>
        <v/>
      </c>
      <c r="AJ398" s="20" t="str">
        <f aca="false">IF(AND(AI398&lt;&gt;"",N(AE398)&gt;0),AI398/AE398,"")</f>
        <v/>
      </c>
      <c r="AK398" s="20" t="str">
        <f aca="false">IF(AND(AI398&lt;&gt;"",N(X398)&gt;0),AI398/X398,"")</f>
        <v/>
      </c>
      <c r="AL398" s="21" t="str">
        <f aca="false">IF(AND(AC398="Sold",AD398&lt;&gt;"",Z398&lt;&gt;""),AD398-Z398,"")</f>
        <v/>
      </c>
      <c r="AM398" s="20" t="str">
        <f aca="false">IF(AND(AC398="Sold",N(AA398)&gt;0,AE398&lt;&gt;""),1-AE398/AA398,"")</f>
        <v/>
      </c>
      <c r="AN398" s="21" t="str">
        <f aca="true">IF(AND(AC398&lt;&gt;"Sold",AC398&lt;&gt;"",Z398&lt;&gt;""),TODAY()-Z398,"")</f>
        <v/>
      </c>
      <c r="AO398" s="4"/>
      <c r="AP398" s="4"/>
    </row>
    <row r="399" customFormat="false" ht="1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14"/>
      <c r="O399" s="15"/>
      <c r="P399" s="16"/>
      <c r="Q399" s="4"/>
      <c r="R399" s="17"/>
      <c r="S399" s="18" t="str">
        <f aca="false">IF(OR(P399="",R399=""),"",P399*R399)</f>
        <v/>
      </c>
      <c r="T399" s="14"/>
      <c r="U399" s="14"/>
      <c r="V399" s="14"/>
      <c r="W399" s="14"/>
      <c r="X399" s="18" t="str">
        <f aca="false">IF(S399="","",S399+N(T399)+N(U399)+N(V399)+N(W399))</f>
        <v/>
      </c>
      <c r="Y399" s="4"/>
      <c r="Z399" s="15"/>
      <c r="AA399" s="14"/>
      <c r="AB399" s="19"/>
      <c r="AC399" s="4"/>
      <c r="AD399" s="15"/>
      <c r="AE399" s="14"/>
      <c r="AF399" s="14"/>
      <c r="AG399" s="14"/>
      <c r="AH399" s="18" t="str">
        <f aca="false">IF(AND(AC399="Sold",AE399&lt;&gt;"",AF399&lt;&gt;""),AE399-AF399,"")</f>
        <v/>
      </c>
      <c r="AI399" s="18" t="str">
        <f aca="false">IF(AND(AC399="Sold",AF399&lt;&gt;"",X399&lt;&gt;""),AF399-N(AG399)-X399,"")</f>
        <v/>
      </c>
      <c r="AJ399" s="20" t="str">
        <f aca="false">IF(AND(AI399&lt;&gt;"",N(AE399)&gt;0),AI399/AE399,"")</f>
        <v/>
      </c>
      <c r="AK399" s="20" t="str">
        <f aca="false">IF(AND(AI399&lt;&gt;"",N(X399)&gt;0),AI399/X399,"")</f>
        <v/>
      </c>
      <c r="AL399" s="21" t="str">
        <f aca="false">IF(AND(AC399="Sold",AD399&lt;&gt;"",Z399&lt;&gt;""),AD399-Z399,"")</f>
        <v/>
      </c>
      <c r="AM399" s="20" t="str">
        <f aca="false">IF(AND(AC399="Sold",N(AA399)&gt;0,AE399&lt;&gt;""),1-AE399/AA399,"")</f>
        <v/>
      </c>
      <c r="AN399" s="21" t="str">
        <f aca="true">IF(AND(AC399&lt;&gt;"Sold",AC399&lt;&gt;"",Z399&lt;&gt;""),TODAY()-Z399,"")</f>
        <v/>
      </c>
      <c r="AO399" s="4"/>
      <c r="AP399" s="4"/>
    </row>
    <row r="400" customFormat="false" ht="1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14"/>
      <c r="O400" s="15"/>
      <c r="P400" s="16"/>
      <c r="Q400" s="4"/>
      <c r="R400" s="17"/>
      <c r="S400" s="18" t="str">
        <f aca="false">IF(OR(P400="",R400=""),"",P400*R400)</f>
        <v/>
      </c>
      <c r="T400" s="14"/>
      <c r="U400" s="14"/>
      <c r="V400" s="14"/>
      <c r="W400" s="14"/>
      <c r="X400" s="18" t="str">
        <f aca="false">IF(S400="","",S400+N(T400)+N(U400)+N(V400)+N(W400))</f>
        <v/>
      </c>
      <c r="Y400" s="4"/>
      <c r="Z400" s="15"/>
      <c r="AA400" s="14"/>
      <c r="AB400" s="19"/>
      <c r="AC400" s="4"/>
      <c r="AD400" s="15"/>
      <c r="AE400" s="14"/>
      <c r="AF400" s="14"/>
      <c r="AG400" s="14"/>
      <c r="AH400" s="18" t="str">
        <f aca="false">IF(AND(AC400="Sold",AE400&lt;&gt;"",AF400&lt;&gt;""),AE400-AF400,"")</f>
        <v/>
      </c>
      <c r="AI400" s="18" t="str">
        <f aca="false">IF(AND(AC400="Sold",AF400&lt;&gt;"",X400&lt;&gt;""),AF400-N(AG400)-X400,"")</f>
        <v/>
      </c>
      <c r="AJ400" s="20" t="str">
        <f aca="false">IF(AND(AI400&lt;&gt;"",N(AE400)&gt;0),AI400/AE400,"")</f>
        <v/>
      </c>
      <c r="AK400" s="20" t="str">
        <f aca="false">IF(AND(AI400&lt;&gt;"",N(X400)&gt;0),AI400/X400,"")</f>
        <v/>
      </c>
      <c r="AL400" s="21" t="str">
        <f aca="false">IF(AND(AC400="Sold",AD400&lt;&gt;"",Z400&lt;&gt;""),AD400-Z400,"")</f>
        <v/>
      </c>
      <c r="AM400" s="20" t="str">
        <f aca="false">IF(AND(AC400="Sold",N(AA400)&gt;0,AE400&lt;&gt;""),1-AE400/AA400,"")</f>
        <v/>
      </c>
      <c r="AN400" s="21" t="str">
        <f aca="true">IF(AND(AC400&lt;&gt;"Sold",AC400&lt;&gt;"",Z400&lt;&gt;""),TODAY()-Z400,"")</f>
        <v/>
      </c>
      <c r="AO400" s="4"/>
      <c r="AP400" s="4"/>
    </row>
    <row r="401" customFormat="false" ht="1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14"/>
      <c r="O401" s="15"/>
      <c r="P401" s="16"/>
      <c r="Q401" s="4"/>
      <c r="R401" s="17"/>
      <c r="S401" s="18" t="str">
        <f aca="false">IF(OR(P401="",R401=""),"",P401*R401)</f>
        <v/>
      </c>
      <c r="T401" s="14"/>
      <c r="U401" s="14"/>
      <c r="V401" s="14"/>
      <c r="W401" s="14"/>
      <c r="X401" s="18" t="str">
        <f aca="false">IF(S401="","",S401+N(T401)+N(U401)+N(V401)+N(W401))</f>
        <v/>
      </c>
      <c r="Y401" s="4"/>
      <c r="Z401" s="15"/>
      <c r="AA401" s="14"/>
      <c r="AB401" s="19"/>
      <c r="AC401" s="4"/>
      <c r="AD401" s="15"/>
      <c r="AE401" s="14"/>
      <c r="AF401" s="14"/>
      <c r="AG401" s="14"/>
      <c r="AH401" s="18" t="str">
        <f aca="false">IF(AND(AC401="Sold",AE401&lt;&gt;"",AF401&lt;&gt;""),AE401-AF401,"")</f>
        <v/>
      </c>
      <c r="AI401" s="18" t="str">
        <f aca="false">IF(AND(AC401="Sold",AF401&lt;&gt;"",X401&lt;&gt;""),AF401-N(AG401)-X401,"")</f>
        <v/>
      </c>
      <c r="AJ401" s="20" t="str">
        <f aca="false">IF(AND(AI401&lt;&gt;"",N(AE401)&gt;0),AI401/AE401,"")</f>
        <v/>
      </c>
      <c r="AK401" s="20" t="str">
        <f aca="false">IF(AND(AI401&lt;&gt;"",N(X401)&gt;0),AI401/X401,"")</f>
        <v/>
      </c>
      <c r="AL401" s="21" t="str">
        <f aca="false">IF(AND(AC401="Sold",AD401&lt;&gt;"",Z401&lt;&gt;""),AD401-Z401,"")</f>
        <v/>
      </c>
      <c r="AM401" s="20" t="str">
        <f aca="false">IF(AND(AC401="Sold",N(AA401)&gt;0,AE401&lt;&gt;""),1-AE401/AA401,"")</f>
        <v/>
      </c>
      <c r="AN401" s="21" t="str">
        <f aca="true">IF(AND(AC401&lt;&gt;"Sold",AC401&lt;&gt;"",Z401&lt;&gt;""),TODAY()-Z401,"")</f>
        <v/>
      </c>
      <c r="AO401" s="4"/>
      <c r="AP401" s="4"/>
    </row>
    <row r="402" customFormat="false" ht="1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14"/>
      <c r="O402" s="15"/>
      <c r="P402" s="16"/>
      <c r="Q402" s="4"/>
      <c r="R402" s="17"/>
      <c r="S402" s="18" t="str">
        <f aca="false">IF(OR(P402="",R402=""),"",P402*R402)</f>
        <v/>
      </c>
      <c r="T402" s="14"/>
      <c r="U402" s="14"/>
      <c r="V402" s="14"/>
      <c r="W402" s="14"/>
      <c r="X402" s="18" t="str">
        <f aca="false">IF(S402="","",S402+N(T402)+N(U402)+N(V402)+N(W402))</f>
        <v/>
      </c>
      <c r="Y402" s="4"/>
      <c r="Z402" s="15"/>
      <c r="AA402" s="14"/>
      <c r="AB402" s="19"/>
      <c r="AC402" s="4"/>
      <c r="AD402" s="15"/>
      <c r="AE402" s="14"/>
      <c r="AF402" s="14"/>
      <c r="AG402" s="14"/>
      <c r="AH402" s="18" t="str">
        <f aca="false">IF(AND(AC402="Sold",AE402&lt;&gt;"",AF402&lt;&gt;""),AE402-AF402,"")</f>
        <v/>
      </c>
      <c r="AI402" s="18" t="str">
        <f aca="false">IF(AND(AC402="Sold",AF402&lt;&gt;"",X402&lt;&gt;""),AF402-N(AG402)-X402,"")</f>
        <v/>
      </c>
      <c r="AJ402" s="20" t="str">
        <f aca="false">IF(AND(AI402&lt;&gt;"",N(AE402)&gt;0),AI402/AE402,"")</f>
        <v/>
      </c>
      <c r="AK402" s="20" t="str">
        <f aca="false">IF(AND(AI402&lt;&gt;"",N(X402)&gt;0),AI402/X402,"")</f>
        <v/>
      </c>
      <c r="AL402" s="21" t="str">
        <f aca="false">IF(AND(AC402="Sold",AD402&lt;&gt;"",Z402&lt;&gt;""),AD402-Z402,"")</f>
        <v/>
      </c>
      <c r="AM402" s="20" t="str">
        <f aca="false">IF(AND(AC402="Sold",N(AA402)&gt;0,AE402&lt;&gt;""),1-AE402/AA402,"")</f>
        <v/>
      </c>
      <c r="AN402" s="21" t="str">
        <f aca="true">IF(AND(AC402&lt;&gt;"Sold",AC402&lt;&gt;"",Z402&lt;&gt;""),TODAY()-Z402,"")</f>
        <v/>
      </c>
      <c r="AO402" s="4"/>
      <c r="AP402" s="4"/>
    </row>
    <row r="403" customFormat="false" ht="1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14"/>
      <c r="O403" s="15"/>
      <c r="P403" s="16"/>
      <c r="Q403" s="4"/>
      <c r="R403" s="17"/>
      <c r="S403" s="18" t="str">
        <f aca="false">IF(OR(P403="",R403=""),"",P403*R403)</f>
        <v/>
      </c>
      <c r="T403" s="14"/>
      <c r="U403" s="14"/>
      <c r="V403" s="14"/>
      <c r="W403" s="14"/>
      <c r="X403" s="18" t="str">
        <f aca="false">IF(S403="","",S403+N(T403)+N(U403)+N(V403)+N(W403))</f>
        <v/>
      </c>
      <c r="Y403" s="4"/>
      <c r="Z403" s="15"/>
      <c r="AA403" s="14"/>
      <c r="AB403" s="19"/>
      <c r="AC403" s="4"/>
      <c r="AD403" s="15"/>
      <c r="AE403" s="14"/>
      <c r="AF403" s="14"/>
      <c r="AG403" s="14"/>
      <c r="AH403" s="18" t="str">
        <f aca="false">IF(AND(AC403="Sold",AE403&lt;&gt;"",AF403&lt;&gt;""),AE403-AF403,"")</f>
        <v/>
      </c>
      <c r="AI403" s="18" t="str">
        <f aca="false">IF(AND(AC403="Sold",AF403&lt;&gt;"",X403&lt;&gt;""),AF403-N(AG403)-X403,"")</f>
        <v/>
      </c>
      <c r="AJ403" s="20" t="str">
        <f aca="false">IF(AND(AI403&lt;&gt;"",N(AE403)&gt;0),AI403/AE403,"")</f>
        <v/>
      </c>
      <c r="AK403" s="20" t="str">
        <f aca="false">IF(AND(AI403&lt;&gt;"",N(X403)&gt;0),AI403/X403,"")</f>
        <v/>
      </c>
      <c r="AL403" s="21" t="str">
        <f aca="false">IF(AND(AC403="Sold",AD403&lt;&gt;"",Z403&lt;&gt;""),AD403-Z403,"")</f>
        <v/>
      </c>
      <c r="AM403" s="20" t="str">
        <f aca="false">IF(AND(AC403="Sold",N(AA403)&gt;0,AE403&lt;&gt;""),1-AE403/AA403,"")</f>
        <v/>
      </c>
      <c r="AN403" s="21" t="str">
        <f aca="true">IF(AND(AC403&lt;&gt;"Sold",AC403&lt;&gt;"",Z403&lt;&gt;""),TODAY()-Z403,"")</f>
        <v/>
      </c>
      <c r="AO403" s="4"/>
      <c r="AP403" s="4"/>
    </row>
    <row r="404" customFormat="false" ht="1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14"/>
      <c r="O404" s="15"/>
      <c r="P404" s="16"/>
      <c r="Q404" s="4"/>
      <c r="R404" s="17"/>
      <c r="S404" s="18" t="str">
        <f aca="false">IF(OR(P404="",R404=""),"",P404*R404)</f>
        <v/>
      </c>
      <c r="T404" s="14"/>
      <c r="U404" s="14"/>
      <c r="V404" s="14"/>
      <c r="W404" s="14"/>
      <c r="X404" s="18" t="str">
        <f aca="false">IF(S404="","",S404+N(T404)+N(U404)+N(V404)+N(W404))</f>
        <v/>
      </c>
      <c r="Y404" s="4"/>
      <c r="Z404" s="15"/>
      <c r="AA404" s="14"/>
      <c r="AB404" s="19"/>
      <c r="AC404" s="4"/>
      <c r="AD404" s="15"/>
      <c r="AE404" s="14"/>
      <c r="AF404" s="14"/>
      <c r="AG404" s="14"/>
      <c r="AH404" s="18" t="str">
        <f aca="false">IF(AND(AC404="Sold",AE404&lt;&gt;"",AF404&lt;&gt;""),AE404-AF404,"")</f>
        <v/>
      </c>
      <c r="AI404" s="18" t="str">
        <f aca="false">IF(AND(AC404="Sold",AF404&lt;&gt;"",X404&lt;&gt;""),AF404-N(AG404)-X404,"")</f>
        <v/>
      </c>
      <c r="AJ404" s="20" t="str">
        <f aca="false">IF(AND(AI404&lt;&gt;"",N(AE404)&gt;0),AI404/AE404,"")</f>
        <v/>
      </c>
      <c r="AK404" s="20" t="str">
        <f aca="false">IF(AND(AI404&lt;&gt;"",N(X404)&gt;0),AI404/X404,"")</f>
        <v/>
      </c>
      <c r="AL404" s="21" t="str">
        <f aca="false">IF(AND(AC404="Sold",AD404&lt;&gt;"",Z404&lt;&gt;""),AD404-Z404,"")</f>
        <v/>
      </c>
      <c r="AM404" s="20" t="str">
        <f aca="false">IF(AND(AC404="Sold",N(AA404)&gt;0,AE404&lt;&gt;""),1-AE404/AA404,"")</f>
        <v/>
      </c>
      <c r="AN404" s="21" t="str">
        <f aca="true">IF(AND(AC404&lt;&gt;"Sold",AC404&lt;&gt;"",Z404&lt;&gt;""),TODAY()-Z404,"")</f>
        <v/>
      </c>
      <c r="AO404" s="4"/>
      <c r="AP404" s="4"/>
    </row>
    <row r="405" customFormat="false" ht="1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14"/>
      <c r="O405" s="15"/>
      <c r="P405" s="16"/>
      <c r="Q405" s="4"/>
      <c r="R405" s="17"/>
      <c r="S405" s="18" t="str">
        <f aca="false">IF(OR(P405="",R405=""),"",P405*R405)</f>
        <v/>
      </c>
      <c r="T405" s="14"/>
      <c r="U405" s="14"/>
      <c r="V405" s="14"/>
      <c r="W405" s="14"/>
      <c r="X405" s="18" t="str">
        <f aca="false">IF(S405="","",S405+N(T405)+N(U405)+N(V405)+N(W405))</f>
        <v/>
      </c>
      <c r="Y405" s="4"/>
      <c r="Z405" s="15"/>
      <c r="AA405" s="14"/>
      <c r="AB405" s="19"/>
      <c r="AC405" s="4"/>
      <c r="AD405" s="15"/>
      <c r="AE405" s="14"/>
      <c r="AF405" s="14"/>
      <c r="AG405" s="14"/>
      <c r="AH405" s="18" t="str">
        <f aca="false">IF(AND(AC405="Sold",AE405&lt;&gt;"",AF405&lt;&gt;""),AE405-AF405,"")</f>
        <v/>
      </c>
      <c r="AI405" s="18" t="str">
        <f aca="false">IF(AND(AC405="Sold",AF405&lt;&gt;"",X405&lt;&gt;""),AF405-N(AG405)-X405,"")</f>
        <v/>
      </c>
      <c r="AJ405" s="20" t="str">
        <f aca="false">IF(AND(AI405&lt;&gt;"",N(AE405)&gt;0),AI405/AE405,"")</f>
        <v/>
      </c>
      <c r="AK405" s="20" t="str">
        <f aca="false">IF(AND(AI405&lt;&gt;"",N(X405)&gt;0),AI405/X405,"")</f>
        <v/>
      </c>
      <c r="AL405" s="21" t="str">
        <f aca="false">IF(AND(AC405="Sold",AD405&lt;&gt;"",Z405&lt;&gt;""),AD405-Z405,"")</f>
        <v/>
      </c>
      <c r="AM405" s="20" t="str">
        <f aca="false">IF(AND(AC405="Sold",N(AA405)&gt;0,AE405&lt;&gt;""),1-AE405/AA405,"")</f>
        <v/>
      </c>
      <c r="AN405" s="21" t="str">
        <f aca="true">IF(AND(AC405&lt;&gt;"Sold",AC405&lt;&gt;"",Z405&lt;&gt;""),TODAY()-Z405,"")</f>
        <v/>
      </c>
      <c r="AO405" s="4"/>
      <c r="AP405" s="4"/>
    </row>
    <row r="406" customFormat="false" ht="1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14"/>
      <c r="O406" s="15"/>
      <c r="P406" s="16"/>
      <c r="Q406" s="4"/>
      <c r="R406" s="17"/>
      <c r="S406" s="18" t="str">
        <f aca="false">IF(OR(P406="",R406=""),"",P406*R406)</f>
        <v/>
      </c>
      <c r="T406" s="14"/>
      <c r="U406" s="14"/>
      <c r="V406" s="14"/>
      <c r="W406" s="14"/>
      <c r="X406" s="18" t="str">
        <f aca="false">IF(S406="","",S406+N(T406)+N(U406)+N(V406)+N(W406))</f>
        <v/>
      </c>
      <c r="Y406" s="4"/>
      <c r="Z406" s="15"/>
      <c r="AA406" s="14"/>
      <c r="AB406" s="19"/>
      <c r="AC406" s="4"/>
      <c r="AD406" s="15"/>
      <c r="AE406" s="14"/>
      <c r="AF406" s="14"/>
      <c r="AG406" s="14"/>
      <c r="AH406" s="18" t="str">
        <f aca="false">IF(AND(AC406="Sold",AE406&lt;&gt;"",AF406&lt;&gt;""),AE406-AF406,"")</f>
        <v/>
      </c>
      <c r="AI406" s="18" t="str">
        <f aca="false">IF(AND(AC406="Sold",AF406&lt;&gt;"",X406&lt;&gt;""),AF406-N(AG406)-X406,"")</f>
        <v/>
      </c>
      <c r="AJ406" s="20" t="str">
        <f aca="false">IF(AND(AI406&lt;&gt;"",N(AE406)&gt;0),AI406/AE406,"")</f>
        <v/>
      </c>
      <c r="AK406" s="20" t="str">
        <f aca="false">IF(AND(AI406&lt;&gt;"",N(X406)&gt;0),AI406/X406,"")</f>
        <v/>
      </c>
      <c r="AL406" s="21" t="str">
        <f aca="false">IF(AND(AC406="Sold",AD406&lt;&gt;"",Z406&lt;&gt;""),AD406-Z406,"")</f>
        <v/>
      </c>
      <c r="AM406" s="20" t="str">
        <f aca="false">IF(AND(AC406="Sold",N(AA406)&gt;0,AE406&lt;&gt;""),1-AE406/AA406,"")</f>
        <v/>
      </c>
      <c r="AN406" s="21" t="str">
        <f aca="true">IF(AND(AC406&lt;&gt;"Sold",AC406&lt;&gt;"",Z406&lt;&gt;""),TODAY()-Z406,"")</f>
        <v/>
      </c>
      <c r="AO406" s="4"/>
      <c r="AP406" s="4"/>
    </row>
    <row r="407" customFormat="false" ht="1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14"/>
      <c r="O407" s="15"/>
      <c r="P407" s="16"/>
      <c r="Q407" s="4"/>
      <c r="R407" s="17"/>
      <c r="S407" s="18" t="str">
        <f aca="false">IF(OR(P407="",R407=""),"",P407*R407)</f>
        <v/>
      </c>
      <c r="T407" s="14"/>
      <c r="U407" s="14"/>
      <c r="V407" s="14"/>
      <c r="W407" s="14"/>
      <c r="X407" s="18" t="str">
        <f aca="false">IF(S407="","",S407+N(T407)+N(U407)+N(V407)+N(W407))</f>
        <v/>
      </c>
      <c r="Y407" s="4"/>
      <c r="Z407" s="15"/>
      <c r="AA407" s="14"/>
      <c r="AB407" s="19"/>
      <c r="AC407" s="4"/>
      <c r="AD407" s="15"/>
      <c r="AE407" s="14"/>
      <c r="AF407" s="14"/>
      <c r="AG407" s="14"/>
      <c r="AH407" s="18" t="str">
        <f aca="false">IF(AND(AC407="Sold",AE407&lt;&gt;"",AF407&lt;&gt;""),AE407-AF407,"")</f>
        <v/>
      </c>
      <c r="AI407" s="18" t="str">
        <f aca="false">IF(AND(AC407="Sold",AF407&lt;&gt;"",X407&lt;&gt;""),AF407-N(AG407)-X407,"")</f>
        <v/>
      </c>
      <c r="AJ407" s="20" t="str">
        <f aca="false">IF(AND(AI407&lt;&gt;"",N(AE407)&gt;0),AI407/AE407,"")</f>
        <v/>
      </c>
      <c r="AK407" s="20" t="str">
        <f aca="false">IF(AND(AI407&lt;&gt;"",N(X407)&gt;0),AI407/X407,"")</f>
        <v/>
      </c>
      <c r="AL407" s="21" t="str">
        <f aca="false">IF(AND(AC407="Sold",AD407&lt;&gt;"",Z407&lt;&gt;""),AD407-Z407,"")</f>
        <v/>
      </c>
      <c r="AM407" s="20" t="str">
        <f aca="false">IF(AND(AC407="Sold",N(AA407)&gt;0,AE407&lt;&gt;""),1-AE407/AA407,"")</f>
        <v/>
      </c>
      <c r="AN407" s="21" t="str">
        <f aca="true">IF(AND(AC407&lt;&gt;"Sold",AC407&lt;&gt;"",Z407&lt;&gt;""),TODAY()-Z407,"")</f>
        <v/>
      </c>
      <c r="AO407" s="4"/>
      <c r="AP407" s="4"/>
    </row>
    <row r="408" customFormat="false" ht="1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14"/>
      <c r="O408" s="15"/>
      <c r="P408" s="16"/>
      <c r="Q408" s="4"/>
      <c r="R408" s="17"/>
      <c r="S408" s="18" t="str">
        <f aca="false">IF(OR(P408="",R408=""),"",P408*R408)</f>
        <v/>
      </c>
      <c r="T408" s="14"/>
      <c r="U408" s="14"/>
      <c r="V408" s="14"/>
      <c r="W408" s="14"/>
      <c r="X408" s="18" t="str">
        <f aca="false">IF(S408="","",S408+N(T408)+N(U408)+N(V408)+N(W408))</f>
        <v/>
      </c>
      <c r="Y408" s="4"/>
      <c r="Z408" s="15"/>
      <c r="AA408" s="14"/>
      <c r="AB408" s="19"/>
      <c r="AC408" s="4"/>
      <c r="AD408" s="15"/>
      <c r="AE408" s="14"/>
      <c r="AF408" s="14"/>
      <c r="AG408" s="14"/>
      <c r="AH408" s="18" t="str">
        <f aca="false">IF(AND(AC408="Sold",AE408&lt;&gt;"",AF408&lt;&gt;""),AE408-AF408,"")</f>
        <v/>
      </c>
      <c r="AI408" s="18" t="str">
        <f aca="false">IF(AND(AC408="Sold",AF408&lt;&gt;"",X408&lt;&gt;""),AF408-N(AG408)-X408,"")</f>
        <v/>
      </c>
      <c r="AJ408" s="20" t="str">
        <f aca="false">IF(AND(AI408&lt;&gt;"",N(AE408)&gt;0),AI408/AE408,"")</f>
        <v/>
      </c>
      <c r="AK408" s="20" t="str">
        <f aca="false">IF(AND(AI408&lt;&gt;"",N(X408)&gt;0),AI408/X408,"")</f>
        <v/>
      </c>
      <c r="AL408" s="21" t="str">
        <f aca="false">IF(AND(AC408="Sold",AD408&lt;&gt;"",Z408&lt;&gt;""),AD408-Z408,"")</f>
        <v/>
      </c>
      <c r="AM408" s="20" t="str">
        <f aca="false">IF(AND(AC408="Sold",N(AA408)&gt;0,AE408&lt;&gt;""),1-AE408/AA408,"")</f>
        <v/>
      </c>
      <c r="AN408" s="21" t="str">
        <f aca="true">IF(AND(AC408&lt;&gt;"Sold",AC408&lt;&gt;"",Z408&lt;&gt;""),TODAY()-Z408,"")</f>
        <v/>
      </c>
      <c r="AO408" s="4"/>
      <c r="AP408" s="4"/>
    </row>
    <row r="409" customFormat="false" ht="1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14"/>
      <c r="O409" s="15"/>
      <c r="P409" s="16"/>
      <c r="Q409" s="4"/>
      <c r="R409" s="17"/>
      <c r="S409" s="18" t="str">
        <f aca="false">IF(OR(P409="",R409=""),"",P409*R409)</f>
        <v/>
      </c>
      <c r="T409" s="14"/>
      <c r="U409" s="14"/>
      <c r="V409" s="14"/>
      <c r="W409" s="14"/>
      <c r="X409" s="18" t="str">
        <f aca="false">IF(S409="","",S409+N(T409)+N(U409)+N(V409)+N(W409))</f>
        <v/>
      </c>
      <c r="Y409" s="4"/>
      <c r="Z409" s="15"/>
      <c r="AA409" s="14"/>
      <c r="AB409" s="19"/>
      <c r="AC409" s="4"/>
      <c r="AD409" s="15"/>
      <c r="AE409" s="14"/>
      <c r="AF409" s="14"/>
      <c r="AG409" s="14"/>
      <c r="AH409" s="18" t="str">
        <f aca="false">IF(AND(AC409="Sold",AE409&lt;&gt;"",AF409&lt;&gt;""),AE409-AF409,"")</f>
        <v/>
      </c>
      <c r="AI409" s="18" t="str">
        <f aca="false">IF(AND(AC409="Sold",AF409&lt;&gt;"",X409&lt;&gt;""),AF409-N(AG409)-X409,"")</f>
        <v/>
      </c>
      <c r="AJ409" s="20" t="str">
        <f aca="false">IF(AND(AI409&lt;&gt;"",N(AE409)&gt;0),AI409/AE409,"")</f>
        <v/>
      </c>
      <c r="AK409" s="20" t="str">
        <f aca="false">IF(AND(AI409&lt;&gt;"",N(X409)&gt;0),AI409/X409,"")</f>
        <v/>
      </c>
      <c r="AL409" s="21" t="str">
        <f aca="false">IF(AND(AC409="Sold",AD409&lt;&gt;"",Z409&lt;&gt;""),AD409-Z409,"")</f>
        <v/>
      </c>
      <c r="AM409" s="20" t="str">
        <f aca="false">IF(AND(AC409="Sold",N(AA409)&gt;0,AE409&lt;&gt;""),1-AE409/AA409,"")</f>
        <v/>
      </c>
      <c r="AN409" s="21" t="str">
        <f aca="true">IF(AND(AC409&lt;&gt;"Sold",AC409&lt;&gt;"",Z409&lt;&gt;""),TODAY()-Z409,"")</f>
        <v/>
      </c>
      <c r="AO409" s="4"/>
      <c r="AP409" s="4"/>
    </row>
    <row r="410" customFormat="false" ht="1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14"/>
      <c r="O410" s="15"/>
      <c r="P410" s="16"/>
      <c r="Q410" s="4"/>
      <c r="R410" s="17"/>
      <c r="S410" s="18" t="str">
        <f aca="false">IF(OR(P410="",R410=""),"",P410*R410)</f>
        <v/>
      </c>
      <c r="T410" s="14"/>
      <c r="U410" s="14"/>
      <c r="V410" s="14"/>
      <c r="W410" s="14"/>
      <c r="X410" s="18" t="str">
        <f aca="false">IF(S410="","",S410+N(T410)+N(U410)+N(V410)+N(W410))</f>
        <v/>
      </c>
      <c r="Y410" s="4"/>
      <c r="Z410" s="15"/>
      <c r="AA410" s="14"/>
      <c r="AB410" s="19"/>
      <c r="AC410" s="4"/>
      <c r="AD410" s="15"/>
      <c r="AE410" s="14"/>
      <c r="AF410" s="14"/>
      <c r="AG410" s="14"/>
      <c r="AH410" s="18" t="str">
        <f aca="false">IF(AND(AC410="Sold",AE410&lt;&gt;"",AF410&lt;&gt;""),AE410-AF410,"")</f>
        <v/>
      </c>
      <c r="AI410" s="18" t="str">
        <f aca="false">IF(AND(AC410="Sold",AF410&lt;&gt;"",X410&lt;&gt;""),AF410-N(AG410)-X410,"")</f>
        <v/>
      </c>
      <c r="AJ410" s="20" t="str">
        <f aca="false">IF(AND(AI410&lt;&gt;"",N(AE410)&gt;0),AI410/AE410,"")</f>
        <v/>
      </c>
      <c r="AK410" s="20" t="str">
        <f aca="false">IF(AND(AI410&lt;&gt;"",N(X410)&gt;0),AI410/X410,"")</f>
        <v/>
      </c>
      <c r="AL410" s="21" t="str">
        <f aca="false">IF(AND(AC410="Sold",AD410&lt;&gt;"",Z410&lt;&gt;""),AD410-Z410,"")</f>
        <v/>
      </c>
      <c r="AM410" s="20" t="str">
        <f aca="false">IF(AND(AC410="Sold",N(AA410)&gt;0,AE410&lt;&gt;""),1-AE410/AA410,"")</f>
        <v/>
      </c>
      <c r="AN410" s="21" t="str">
        <f aca="true">IF(AND(AC410&lt;&gt;"Sold",AC410&lt;&gt;"",Z410&lt;&gt;""),TODAY()-Z410,"")</f>
        <v/>
      </c>
      <c r="AO410" s="4"/>
      <c r="AP410" s="4"/>
    </row>
    <row r="411" customFormat="false" ht="1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14"/>
      <c r="O411" s="15"/>
      <c r="P411" s="16"/>
      <c r="Q411" s="4"/>
      <c r="R411" s="17"/>
      <c r="S411" s="18" t="str">
        <f aca="false">IF(OR(P411="",R411=""),"",P411*R411)</f>
        <v/>
      </c>
      <c r="T411" s="14"/>
      <c r="U411" s="14"/>
      <c r="V411" s="14"/>
      <c r="W411" s="14"/>
      <c r="X411" s="18" t="str">
        <f aca="false">IF(S411="","",S411+N(T411)+N(U411)+N(V411)+N(W411))</f>
        <v/>
      </c>
      <c r="Y411" s="4"/>
      <c r="Z411" s="15"/>
      <c r="AA411" s="14"/>
      <c r="AB411" s="19"/>
      <c r="AC411" s="4"/>
      <c r="AD411" s="15"/>
      <c r="AE411" s="14"/>
      <c r="AF411" s="14"/>
      <c r="AG411" s="14"/>
      <c r="AH411" s="18" t="str">
        <f aca="false">IF(AND(AC411="Sold",AE411&lt;&gt;"",AF411&lt;&gt;""),AE411-AF411,"")</f>
        <v/>
      </c>
      <c r="AI411" s="18" t="str">
        <f aca="false">IF(AND(AC411="Sold",AF411&lt;&gt;"",X411&lt;&gt;""),AF411-N(AG411)-X411,"")</f>
        <v/>
      </c>
      <c r="AJ411" s="20" t="str">
        <f aca="false">IF(AND(AI411&lt;&gt;"",N(AE411)&gt;0),AI411/AE411,"")</f>
        <v/>
      </c>
      <c r="AK411" s="20" t="str">
        <f aca="false">IF(AND(AI411&lt;&gt;"",N(X411)&gt;0),AI411/X411,"")</f>
        <v/>
      </c>
      <c r="AL411" s="21" t="str">
        <f aca="false">IF(AND(AC411="Sold",AD411&lt;&gt;"",Z411&lt;&gt;""),AD411-Z411,"")</f>
        <v/>
      </c>
      <c r="AM411" s="20" t="str">
        <f aca="false">IF(AND(AC411="Sold",N(AA411)&gt;0,AE411&lt;&gt;""),1-AE411/AA411,"")</f>
        <v/>
      </c>
      <c r="AN411" s="21" t="str">
        <f aca="true">IF(AND(AC411&lt;&gt;"Sold",AC411&lt;&gt;"",Z411&lt;&gt;""),TODAY()-Z411,"")</f>
        <v/>
      </c>
      <c r="AO411" s="4"/>
      <c r="AP411" s="4"/>
    </row>
    <row r="412" customFormat="false" ht="1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14"/>
      <c r="O412" s="15"/>
      <c r="P412" s="16"/>
      <c r="Q412" s="4"/>
      <c r="R412" s="17"/>
      <c r="S412" s="18" t="str">
        <f aca="false">IF(OR(P412="",R412=""),"",P412*R412)</f>
        <v/>
      </c>
      <c r="T412" s="14"/>
      <c r="U412" s="14"/>
      <c r="V412" s="14"/>
      <c r="W412" s="14"/>
      <c r="X412" s="18" t="str">
        <f aca="false">IF(S412="","",S412+N(T412)+N(U412)+N(V412)+N(W412))</f>
        <v/>
      </c>
      <c r="Y412" s="4"/>
      <c r="Z412" s="15"/>
      <c r="AA412" s="14"/>
      <c r="AB412" s="19"/>
      <c r="AC412" s="4"/>
      <c r="AD412" s="15"/>
      <c r="AE412" s="14"/>
      <c r="AF412" s="14"/>
      <c r="AG412" s="14"/>
      <c r="AH412" s="18" t="str">
        <f aca="false">IF(AND(AC412="Sold",AE412&lt;&gt;"",AF412&lt;&gt;""),AE412-AF412,"")</f>
        <v/>
      </c>
      <c r="AI412" s="18" t="str">
        <f aca="false">IF(AND(AC412="Sold",AF412&lt;&gt;"",X412&lt;&gt;""),AF412-N(AG412)-X412,"")</f>
        <v/>
      </c>
      <c r="AJ412" s="20" t="str">
        <f aca="false">IF(AND(AI412&lt;&gt;"",N(AE412)&gt;0),AI412/AE412,"")</f>
        <v/>
      </c>
      <c r="AK412" s="20" t="str">
        <f aca="false">IF(AND(AI412&lt;&gt;"",N(X412)&gt;0),AI412/X412,"")</f>
        <v/>
      </c>
      <c r="AL412" s="21" t="str">
        <f aca="false">IF(AND(AC412="Sold",AD412&lt;&gt;"",Z412&lt;&gt;""),AD412-Z412,"")</f>
        <v/>
      </c>
      <c r="AM412" s="20" t="str">
        <f aca="false">IF(AND(AC412="Sold",N(AA412)&gt;0,AE412&lt;&gt;""),1-AE412/AA412,"")</f>
        <v/>
      </c>
      <c r="AN412" s="21" t="str">
        <f aca="true">IF(AND(AC412&lt;&gt;"Sold",AC412&lt;&gt;"",Z412&lt;&gt;""),TODAY()-Z412,"")</f>
        <v/>
      </c>
      <c r="AO412" s="4"/>
      <c r="AP412" s="4"/>
    </row>
    <row r="413" customFormat="false" ht="1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14"/>
      <c r="O413" s="15"/>
      <c r="P413" s="16"/>
      <c r="Q413" s="4"/>
      <c r="R413" s="17"/>
      <c r="S413" s="18" t="str">
        <f aca="false">IF(OR(P413="",R413=""),"",P413*R413)</f>
        <v/>
      </c>
      <c r="T413" s="14"/>
      <c r="U413" s="14"/>
      <c r="V413" s="14"/>
      <c r="W413" s="14"/>
      <c r="X413" s="18" t="str">
        <f aca="false">IF(S413="","",S413+N(T413)+N(U413)+N(V413)+N(W413))</f>
        <v/>
      </c>
      <c r="Y413" s="4"/>
      <c r="Z413" s="15"/>
      <c r="AA413" s="14"/>
      <c r="AB413" s="19"/>
      <c r="AC413" s="4"/>
      <c r="AD413" s="15"/>
      <c r="AE413" s="14"/>
      <c r="AF413" s="14"/>
      <c r="AG413" s="14"/>
      <c r="AH413" s="18" t="str">
        <f aca="false">IF(AND(AC413="Sold",AE413&lt;&gt;"",AF413&lt;&gt;""),AE413-AF413,"")</f>
        <v/>
      </c>
      <c r="AI413" s="18" t="str">
        <f aca="false">IF(AND(AC413="Sold",AF413&lt;&gt;"",X413&lt;&gt;""),AF413-N(AG413)-X413,"")</f>
        <v/>
      </c>
      <c r="AJ413" s="20" t="str">
        <f aca="false">IF(AND(AI413&lt;&gt;"",N(AE413)&gt;0),AI413/AE413,"")</f>
        <v/>
      </c>
      <c r="AK413" s="20" t="str">
        <f aca="false">IF(AND(AI413&lt;&gt;"",N(X413)&gt;0),AI413/X413,"")</f>
        <v/>
      </c>
      <c r="AL413" s="21" t="str">
        <f aca="false">IF(AND(AC413="Sold",AD413&lt;&gt;"",Z413&lt;&gt;""),AD413-Z413,"")</f>
        <v/>
      </c>
      <c r="AM413" s="20" t="str">
        <f aca="false">IF(AND(AC413="Sold",N(AA413)&gt;0,AE413&lt;&gt;""),1-AE413/AA413,"")</f>
        <v/>
      </c>
      <c r="AN413" s="21" t="str">
        <f aca="true">IF(AND(AC413&lt;&gt;"Sold",AC413&lt;&gt;"",Z413&lt;&gt;""),TODAY()-Z413,"")</f>
        <v/>
      </c>
      <c r="AO413" s="4"/>
      <c r="AP413" s="4"/>
    </row>
    <row r="414" customFormat="false" ht="1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14"/>
      <c r="O414" s="15"/>
      <c r="P414" s="16"/>
      <c r="Q414" s="4"/>
      <c r="R414" s="17"/>
      <c r="S414" s="18" t="str">
        <f aca="false">IF(OR(P414="",R414=""),"",P414*R414)</f>
        <v/>
      </c>
      <c r="T414" s="14"/>
      <c r="U414" s="14"/>
      <c r="V414" s="14"/>
      <c r="W414" s="14"/>
      <c r="X414" s="18" t="str">
        <f aca="false">IF(S414="","",S414+N(T414)+N(U414)+N(V414)+N(W414))</f>
        <v/>
      </c>
      <c r="Y414" s="4"/>
      <c r="Z414" s="15"/>
      <c r="AA414" s="14"/>
      <c r="AB414" s="19"/>
      <c r="AC414" s="4"/>
      <c r="AD414" s="15"/>
      <c r="AE414" s="14"/>
      <c r="AF414" s="14"/>
      <c r="AG414" s="14"/>
      <c r="AH414" s="18" t="str">
        <f aca="false">IF(AND(AC414="Sold",AE414&lt;&gt;"",AF414&lt;&gt;""),AE414-AF414,"")</f>
        <v/>
      </c>
      <c r="AI414" s="18" t="str">
        <f aca="false">IF(AND(AC414="Sold",AF414&lt;&gt;"",X414&lt;&gt;""),AF414-N(AG414)-X414,"")</f>
        <v/>
      </c>
      <c r="AJ414" s="20" t="str">
        <f aca="false">IF(AND(AI414&lt;&gt;"",N(AE414)&gt;0),AI414/AE414,"")</f>
        <v/>
      </c>
      <c r="AK414" s="20" t="str">
        <f aca="false">IF(AND(AI414&lt;&gt;"",N(X414)&gt;0),AI414/X414,"")</f>
        <v/>
      </c>
      <c r="AL414" s="21" t="str">
        <f aca="false">IF(AND(AC414="Sold",AD414&lt;&gt;"",Z414&lt;&gt;""),AD414-Z414,"")</f>
        <v/>
      </c>
      <c r="AM414" s="20" t="str">
        <f aca="false">IF(AND(AC414="Sold",N(AA414)&gt;0,AE414&lt;&gt;""),1-AE414/AA414,"")</f>
        <v/>
      </c>
      <c r="AN414" s="21" t="str">
        <f aca="true">IF(AND(AC414&lt;&gt;"Sold",AC414&lt;&gt;"",Z414&lt;&gt;""),TODAY()-Z414,"")</f>
        <v/>
      </c>
      <c r="AO414" s="4"/>
      <c r="AP414" s="4"/>
    </row>
    <row r="415" customFormat="false" ht="1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14"/>
      <c r="O415" s="15"/>
      <c r="P415" s="16"/>
      <c r="Q415" s="4"/>
      <c r="R415" s="17"/>
      <c r="S415" s="18" t="str">
        <f aca="false">IF(OR(P415="",R415=""),"",P415*R415)</f>
        <v/>
      </c>
      <c r="T415" s="14"/>
      <c r="U415" s="14"/>
      <c r="V415" s="14"/>
      <c r="W415" s="14"/>
      <c r="X415" s="18" t="str">
        <f aca="false">IF(S415="","",S415+N(T415)+N(U415)+N(V415)+N(W415))</f>
        <v/>
      </c>
      <c r="Y415" s="4"/>
      <c r="Z415" s="15"/>
      <c r="AA415" s="14"/>
      <c r="AB415" s="19"/>
      <c r="AC415" s="4"/>
      <c r="AD415" s="15"/>
      <c r="AE415" s="14"/>
      <c r="AF415" s="14"/>
      <c r="AG415" s="14"/>
      <c r="AH415" s="18" t="str">
        <f aca="false">IF(AND(AC415="Sold",AE415&lt;&gt;"",AF415&lt;&gt;""),AE415-AF415,"")</f>
        <v/>
      </c>
      <c r="AI415" s="18" t="str">
        <f aca="false">IF(AND(AC415="Sold",AF415&lt;&gt;"",X415&lt;&gt;""),AF415-N(AG415)-X415,"")</f>
        <v/>
      </c>
      <c r="AJ415" s="20" t="str">
        <f aca="false">IF(AND(AI415&lt;&gt;"",N(AE415)&gt;0),AI415/AE415,"")</f>
        <v/>
      </c>
      <c r="AK415" s="20" t="str">
        <f aca="false">IF(AND(AI415&lt;&gt;"",N(X415)&gt;0),AI415/X415,"")</f>
        <v/>
      </c>
      <c r="AL415" s="21" t="str">
        <f aca="false">IF(AND(AC415="Sold",AD415&lt;&gt;"",Z415&lt;&gt;""),AD415-Z415,"")</f>
        <v/>
      </c>
      <c r="AM415" s="20" t="str">
        <f aca="false">IF(AND(AC415="Sold",N(AA415)&gt;0,AE415&lt;&gt;""),1-AE415/AA415,"")</f>
        <v/>
      </c>
      <c r="AN415" s="21" t="str">
        <f aca="true">IF(AND(AC415&lt;&gt;"Sold",AC415&lt;&gt;"",Z415&lt;&gt;""),TODAY()-Z415,"")</f>
        <v/>
      </c>
      <c r="AO415" s="4"/>
      <c r="AP415" s="4"/>
    </row>
    <row r="416" customFormat="false" ht="1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14"/>
      <c r="O416" s="15"/>
      <c r="P416" s="16"/>
      <c r="Q416" s="4"/>
      <c r="R416" s="17"/>
      <c r="S416" s="18" t="str">
        <f aca="false">IF(OR(P416="",R416=""),"",P416*R416)</f>
        <v/>
      </c>
      <c r="T416" s="14"/>
      <c r="U416" s="14"/>
      <c r="V416" s="14"/>
      <c r="W416" s="14"/>
      <c r="X416" s="18" t="str">
        <f aca="false">IF(S416="","",S416+N(T416)+N(U416)+N(V416)+N(W416))</f>
        <v/>
      </c>
      <c r="Y416" s="4"/>
      <c r="Z416" s="15"/>
      <c r="AA416" s="14"/>
      <c r="AB416" s="19"/>
      <c r="AC416" s="4"/>
      <c r="AD416" s="15"/>
      <c r="AE416" s="14"/>
      <c r="AF416" s="14"/>
      <c r="AG416" s="14"/>
      <c r="AH416" s="18" t="str">
        <f aca="false">IF(AND(AC416="Sold",AE416&lt;&gt;"",AF416&lt;&gt;""),AE416-AF416,"")</f>
        <v/>
      </c>
      <c r="AI416" s="18" t="str">
        <f aca="false">IF(AND(AC416="Sold",AF416&lt;&gt;"",X416&lt;&gt;""),AF416-N(AG416)-X416,"")</f>
        <v/>
      </c>
      <c r="AJ416" s="20" t="str">
        <f aca="false">IF(AND(AI416&lt;&gt;"",N(AE416)&gt;0),AI416/AE416,"")</f>
        <v/>
      </c>
      <c r="AK416" s="20" t="str">
        <f aca="false">IF(AND(AI416&lt;&gt;"",N(X416)&gt;0),AI416/X416,"")</f>
        <v/>
      </c>
      <c r="AL416" s="21" t="str">
        <f aca="false">IF(AND(AC416="Sold",AD416&lt;&gt;"",Z416&lt;&gt;""),AD416-Z416,"")</f>
        <v/>
      </c>
      <c r="AM416" s="20" t="str">
        <f aca="false">IF(AND(AC416="Sold",N(AA416)&gt;0,AE416&lt;&gt;""),1-AE416/AA416,"")</f>
        <v/>
      </c>
      <c r="AN416" s="21" t="str">
        <f aca="true">IF(AND(AC416&lt;&gt;"Sold",AC416&lt;&gt;"",Z416&lt;&gt;""),TODAY()-Z416,"")</f>
        <v/>
      </c>
      <c r="AO416" s="4"/>
      <c r="AP416" s="4"/>
    </row>
    <row r="417" customFormat="false" ht="1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14"/>
      <c r="O417" s="15"/>
      <c r="P417" s="16"/>
      <c r="Q417" s="4"/>
      <c r="R417" s="17"/>
      <c r="S417" s="18" t="str">
        <f aca="false">IF(OR(P417="",R417=""),"",P417*R417)</f>
        <v/>
      </c>
      <c r="T417" s="14"/>
      <c r="U417" s="14"/>
      <c r="V417" s="14"/>
      <c r="W417" s="14"/>
      <c r="X417" s="18" t="str">
        <f aca="false">IF(S417="","",S417+N(T417)+N(U417)+N(V417)+N(W417))</f>
        <v/>
      </c>
      <c r="Y417" s="4"/>
      <c r="Z417" s="15"/>
      <c r="AA417" s="14"/>
      <c r="AB417" s="19"/>
      <c r="AC417" s="4"/>
      <c r="AD417" s="15"/>
      <c r="AE417" s="14"/>
      <c r="AF417" s="14"/>
      <c r="AG417" s="14"/>
      <c r="AH417" s="18" t="str">
        <f aca="false">IF(AND(AC417="Sold",AE417&lt;&gt;"",AF417&lt;&gt;""),AE417-AF417,"")</f>
        <v/>
      </c>
      <c r="AI417" s="18" t="str">
        <f aca="false">IF(AND(AC417="Sold",AF417&lt;&gt;"",X417&lt;&gt;""),AF417-N(AG417)-X417,"")</f>
        <v/>
      </c>
      <c r="AJ417" s="20" t="str">
        <f aca="false">IF(AND(AI417&lt;&gt;"",N(AE417)&gt;0),AI417/AE417,"")</f>
        <v/>
      </c>
      <c r="AK417" s="20" t="str">
        <f aca="false">IF(AND(AI417&lt;&gt;"",N(X417)&gt;0),AI417/X417,"")</f>
        <v/>
      </c>
      <c r="AL417" s="21" t="str">
        <f aca="false">IF(AND(AC417="Sold",AD417&lt;&gt;"",Z417&lt;&gt;""),AD417-Z417,"")</f>
        <v/>
      </c>
      <c r="AM417" s="20" t="str">
        <f aca="false">IF(AND(AC417="Sold",N(AA417)&gt;0,AE417&lt;&gt;""),1-AE417/AA417,"")</f>
        <v/>
      </c>
      <c r="AN417" s="21" t="str">
        <f aca="true">IF(AND(AC417&lt;&gt;"Sold",AC417&lt;&gt;"",Z417&lt;&gt;""),TODAY()-Z417,"")</f>
        <v/>
      </c>
      <c r="AO417" s="4"/>
      <c r="AP417" s="4"/>
    </row>
    <row r="418" customFormat="false" ht="1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14"/>
      <c r="O418" s="15"/>
      <c r="P418" s="16"/>
      <c r="Q418" s="4"/>
      <c r="R418" s="17"/>
      <c r="S418" s="18" t="str">
        <f aca="false">IF(OR(P418="",R418=""),"",P418*R418)</f>
        <v/>
      </c>
      <c r="T418" s="14"/>
      <c r="U418" s="14"/>
      <c r="V418" s="14"/>
      <c r="W418" s="14"/>
      <c r="X418" s="18" t="str">
        <f aca="false">IF(S418="","",S418+N(T418)+N(U418)+N(V418)+N(W418))</f>
        <v/>
      </c>
      <c r="Y418" s="4"/>
      <c r="Z418" s="15"/>
      <c r="AA418" s="14"/>
      <c r="AB418" s="19"/>
      <c r="AC418" s="4"/>
      <c r="AD418" s="15"/>
      <c r="AE418" s="14"/>
      <c r="AF418" s="14"/>
      <c r="AG418" s="14"/>
      <c r="AH418" s="18" t="str">
        <f aca="false">IF(AND(AC418="Sold",AE418&lt;&gt;"",AF418&lt;&gt;""),AE418-AF418,"")</f>
        <v/>
      </c>
      <c r="AI418" s="18" t="str">
        <f aca="false">IF(AND(AC418="Sold",AF418&lt;&gt;"",X418&lt;&gt;""),AF418-N(AG418)-X418,"")</f>
        <v/>
      </c>
      <c r="AJ418" s="20" t="str">
        <f aca="false">IF(AND(AI418&lt;&gt;"",N(AE418)&gt;0),AI418/AE418,"")</f>
        <v/>
      </c>
      <c r="AK418" s="20" t="str">
        <f aca="false">IF(AND(AI418&lt;&gt;"",N(X418)&gt;0),AI418/X418,"")</f>
        <v/>
      </c>
      <c r="AL418" s="21" t="str">
        <f aca="false">IF(AND(AC418="Sold",AD418&lt;&gt;"",Z418&lt;&gt;""),AD418-Z418,"")</f>
        <v/>
      </c>
      <c r="AM418" s="20" t="str">
        <f aca="false">IF(AND(AC418="Sold",N(AA418)&gt;0,AE418&lt;&gt;""),1-AE418/AA418,"")</f>
        <v/>
      </c>
      <c r="AN418" s="21" t="str">
        <f aca="true">IF(AND(AC418&lt;&gt;"Sold",AC418&lt;&gt;"",Z418&lt;&gt;""),TODAY()-Z418,"")</f>
        <v/>
      </c>
      <c r="AO418" s="4"/>
      <c r="AP418" s="4"/>
    </row>
    <row r="419" customFormat="false" ht="1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14"/>
      <c r="O419" s="15"/>
      <c r="P419" s="16"/>
      <c r="Q419" s="4"/>
      <c r="R419" s="17"/>
      <c r="S419" s="18" t="str">
        <f aca="false">IF(OR(P419="",R419=""),"",P419*R419)</f>
        <v/>
      </c>
      <c r="T419" s="14"/>
      <c r="U419" s="14"/>
      <c r="V419" s="14"/>
      <c r="W419" s="14"/>
      <c r="X419" s="18" t="str">
        <f aca="false">IF(S419="","",S419+N(T419)+N(U419)+N(V419)+N(W419))</f>
        <v/>
      </c>
      <c r="Y419" s="4"/>
      <c r="Z419" s="15"/>
      <c r="AA419" s="14"/>
      <c r="AB419" s="19"/>
      <c r="AC419" s="4"/>
      <c r="AD419" s="15"/>
      <c r="AE419" s="14"/>
      <c r="AF419" s="14"/>
      <c r="AG419" s="14"/>
      <c r="AH419" s="18" t="str">
        <f aca="false">IF(AND(AC419="Sold",AE419&lt;&gt;"",AF419&lt;&gt;""),AE419-AF419,"")</f>
        <v/>
      </c>
      <c r="AI419" s="18" t="str">
        <f aca="false">IF(AND(AC419="Sold",AF419&lt;&gt;"",X419&lt;&gt;""),AF419-N(AG419)-X419,"")</f>
        <v/>
      </c>
      <c r="AJ419" s="20" t="str">
        <f aca="false">IF(AND(AI419&lt;&gt;"",N(AE419)&gt;0),AI419/AE419,"")</f>
        <v/>
      </c>
      <c r="AK419" s="20" t="str">
        <f aca="false">IF(AND(AI419&lt;&gt;"",N(X419)&gt;0),AI419/X419,"")</f>
        <v/>
      </c>
      <c r="AL419" s="21" t="str">
        <f aca="false">IF(AND(AC419="Sold",AD419&lt;&gt;"",Z419&lt;&gt;""),AD419-Z419,"")</f>
        <v/>
      </c>
      <c r="AM419" s="20" t="str">
        <f aca="false">IF(AND(AC419="Sold",N(AA419)&gt;0,AE419&lt;&gt;""),1-AE419/AA419,"")</f>
        <v/>
      </c>
      <c r="AN419" s="21" t="str">
        <f aca="true">IF(AND(AC419&lt;&gt;"Sold",AC419&lt;&gt;"",Z419&lt;&gt;""),TODAY()-Z419,"")</f>
        <v/>
      </c>
      <c r="AO419" s="4"/>
      <c r="AP419" s="4"/>
    </row>
    <row r="420" customFormat="false" ht="1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14"/>
      <c r="O420" s="15"/>
      <c r="P420" s="16"/>
      <c r="Q420" s="4"/>
      <c r="R420" s="17"/>
      <c r="S420" s="18" t="str">
        <f aca="false">IF(OR(P420="",R420=""),"",P420*R420)</f>
        <v/>
      </c>
      <c r="T420" s="14"/>
      <c r="U420" s="14"/>
      <c r="V420" s="14"/>
      <c r="W420" s="14"/>
      <c r="X420" s="18" t="str">
        <f aca="false">IF(S420="","",S420+N(T420)+N(U420)+N(V420)+N(W420))</f>
        <v/>
      </c>
      <c r="Y420" s="4"/>
      <c r="Z420" s="15"/>
      <c r="AA420" s="14"/>
      <c r="AB420" s="19"/>
      <c r="AC420" s="4"/>
      <c r="AD420" s="15"/>
      <c r="AE420" s="14"/>
      <c r="AF420" s="14"/>
      <c r="AG420" s="14"/>
      <c r="AH420" s="18" t="str">
        <f aca="false">IF(AND(AC420="Sold",AE420&lt;&gt;"",AF420&lt;&gt;""),AE420-AF420,"")</f>
        <v/>
      </c>
      <c r="AI420" s="18" t="str">
        <f aca="false">IF(AND(AC420="Sold",AF420&lt;&gt;"",X420&lt;&gt;""),AF420-N(AG420)-X420,"")</f>
        <v/>
      </c>
      <c r="AJ420" s="20" t="str">
        <f aca="false">IF(AND(AI420&lt;&gt;"",N(AE420)&gt;0),AI420/AE420,"")</f>
        <v/>
      </c>
      <c r="AK420" s="20" t="str">
        <f aca="false">IF(AND(AI420&lt;&gt;"",N(X420)&gt;0),AI420/X420,"")</f>
        <v/>
      </c>
      <c r="AL420" s="21" t="str">
        <f aca="false">IF(AND(AC420="Sold",AD420&lt;&gt;"",Z420&lt;&gt;""),AD420-Z420,"")</f>
        <v/>
      </c>
      <c r="AM420" s="20" t="str">
        <f aca="false">IF(AND(AC420="Sold",N(AA420)&gt;0,AE420&lt;&gt;""),1-AE420/AA420,"")</f>
        <v/>
      </c>
      <c r="AN420" s="21" t="str">
        <f aca="true">IF(AND(AC420&lt;&gt;"Sold",AC420&lt;&gt;"",Z420&lt;&gt;""),TODAY()-Z420,"")</f>
        <v/>
      </c>
      <c r="AO420" s="4"/>
      <c r="AP420" s="4"/>
    </row>
    <row r="421" customFormat="false" ht="1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14"/>
      <c r="O421" s="15"/>
      <c r="P421" s="16"/>
      <c r="Q421" s="4"/>
      <c r="R421" s="17"/>
      <c r="S421" s="18" t="str">
        <f aca="false">IF(OR(P421="",R421=""),"",P421*R421)</f>
        <v/>
      </c>
      <c r="T421" s="14"/>
      <c r="U421" s="14"/>
      <c r="V421" s="14"/>
      <c r="W421" s="14"/>
      <c r="X421" s="18" t="str">
        <f aca="false">IF(S421="","",S421+N(T421)+N(U421)+N(V421)+N(W421))</f>
        <v/>
      </c>
      <c r="Y421" s="4"/>
      <c r="Z421" s="15"/>
      <c r="AA421" s="14"/>
      <c r="AB421" s="19"/>
      <c r="AC421" s="4"/>
      <c r="AD421" s="15"/>
      <c r="AE421" s="14"/>
      <c r="AF421" s="14"/>
      <c r="AG421" s="14"/>
      <c r="AH421" s="18" t="str">
        <f aca="false">IF(AND(AC421="Sold",AE421&lt;&gt;"",AF421&lt;&gt;""),AE421-AF421,"")</f>
        <v/>
      </c>
      <c r="AI421" s="18" t="str">
        <f aca="false">IF(AND(AC421="Sold",AF421&lt;&gt;"",X421&lt;&gt;""),AF421-N(AG421)-X421,"")</f>
        <v/>
      </c>
      <c r="AJ421" s="20" t="str">
        <f aca="false">IF(AND(AI421&lt;&gt;"",N(AE421)&gt;0),AI421/AE421,"")</f>
        <v/>
      </c>
      <c r="AK421" s="20" t="str">
        <f aca="false">IF(AND(AI421&lt;&gt;"",N(X421)&gt;0),AI421/X421,"")</f>
        <v/>
      </c>
      <c r="AL421" s="21" t="str">
        <f aca="false">IF(AND(AC421="Sold",AD421&lt;&gt;"",Z421&lt;&gt;""),AD421-Z421,"")</f>
        <v/>
      </c>
      <c r="AM421" s="20" t="str">
        <f aca="false">IF(AND(AC421="Sold",N(AA421)&gt;0,AE421&lt;&gt;""),1-AE421/AA421,"")</f>
        <v/>
      </c>
      <c r="AN421" s="21" t="str">
        <f aca="true">IF(AND(AC421&lt;&gt;"Sold",AC421&lt;&gt;"",Z421&lt;&gt;""),TODAY()-Z421,"")</f>
        <v/>
      </c>
      <c r="AO421" s="4"/>
      <c r="AP421" s="4"/>
    </row>
    <row r="422" customFormat="false" ht="1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14"/>
      <c r="O422" s="15"/>
      <c r="P422" s="16"/>
      <c r="Q422" s="4"/>
      <c r="R422" s="17"/>
      <c r="S422" s="18" t="str">
        <f aca="false">IF(OR(P422="",R422=""),"",P422*R422)</f>
        <v/>
      </c>
      <c r="T422" s="14"/>
      <c r="U422" s="14"/>
      <c r="V422" s="14"/>
      <c r="W422" s="14"/>
      <c r="X422" s="18" t="str">
        <f aca="false">IF(S422="","",S422+N(T422)+N(U422)+N(V422)+N(W422))</f>
        <v/>
      </c>
      <c r="Y422" s="4"/>
      <c r="Z422" s="15"/>
      <c r="AA422" s="14"/>
      <c r="AB422" s="19"/>
      <c r="AC422" s="4"/>
      <c r="AD422" s="15"/>
      <c r="AE422" s="14"/>
      <c r="AF422" s="14"/>
      <c r="AG422" s="14"/>
      <c r="AH422" s="18" t="str">
        <f aca="false">IF(AND(AC422="Sold",AE422&lt;&gt;"",AF422&lt;&gt;""),AE422-AF422,"")</f>
        <v/>
      </c>
      <c r="AI422" s="18" t="str">
        <f aca="false">IF(AND(AC422="Sold",AF422&lt;&gt;"",X422&lt;&gt;""),AF422-N(AG422)-X422,"")</f>
        <v/>
      </c>
      <c r="AJ422" s="20" t="str">
        <f aca="false">IF(AND(AI422&lt;&gt;"",N(AE422)&gt;0),AI422/AE422,"")</f>
        <v/>
      </c>
      <c r="AK422" s="20" t="str">
        <f aca="false">IF(AND(AI422&lt;&gt;"",N(X422)&gt;0),AI422/X422,"")</f>
        <v/>
      </c>
      <c r="AL422" s="21" t="str">
        <f aca="false">IF(AND(AC422="Sold",AD422&lt;&gt;"",Z422&lt;&gt;""),AD422-Z422,"")</f>
        <v/>
      </c>
      <c r="AM422" s="20" t="str">
        <f aca="false">IF(AND(AC422="Sold",N(AA422)&gt;0,AE422&lt;&gt;""),1-AE422/AA422,"")</f>
        <v/>
      </c>
      <c r="AN422" s="21" t="str">
        <f aca="true">IF(AND(AC422&lt;&gt;"Sold",AC422&lt;&gt;"",Z422&lt;&gt;""),TODAY()-Z422,"")</f>
        <v/>
      </c>
      <c r="AO422" s="4"/>
      <c r="AP422" s="4"/>
    </row>
    <row r="423" customFormat="false" ht="1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14"/>
      <c r="O423" s="15"/>
      <c r="P423" s="16"/>
      <c r="Q423" s="4"/>
      <c r="R423" s="17"/>
      <c r="S423" s="18" t="str">
        <f aca="false">IF(OR(P423="",R423=""),"",P423*R423)</f>
        <v/>
      </c>
      <c r="T423" s="14"/>
      <c r="U423" s="14"/>
      <c r="V423" s="14"/>
      <c r="W423" s="14"/>
      <c r="X423" s="18" t="str">
        <f aca="false">IF(S423="","",S423+N(T423)+N(U423)+N(V423)+N(W423))</f>
        <v/>
      </c>
      <c r="Y423" s="4"/>
      <c r="Z423" s="15"/>
      <c r="AA423" s="14"/>
      <c r="AB423" s="19"/>
      <c r="AC423" s="4"/>
      <c r="AD423" s="15"/>
      <c r="AE423" s="14"/>
      <c r="AF423" s="14"/>
      <c r="AG423" s="14"/>
      <c r="AH423" s="18" t="str">
        <f aca="false">IF(AND(AC423="Sold",AE423&lt;&gt;"",AF423&lt;&gt;""),AE423-AF423,"")</f>
        <v/>
      </c>
      <c r="AI423" s="18" t="str">
        <f aca="false">IF(AND(AC423="Sold",AF423&lt;&gt;"",X423&lt;&gt;""),AF423-N(AG423)-X423,"")</f>
        <v/>
      </c>
      <c r="AJ423" s="20" t="str">
        <f aca="false">IF(AND(AI423&lt;&gt;"",N(AE423)&gt;0),AI423/AE423,"")</f>
        <v/>
      </c>
      <c r="AK423" s="20" t="str">
        <f aca="false">IF(AND(AI423&lt;&gt;"",N(X423)&gt;0),AI423/X423,"")</f>
        <v/>
      </c>
      <c r="AL423" s="21" t="str">
        <f aca="false">IF(AND(AC423="Sold",AD423&lt;&gt;"",Z423&lt;&gt;""),AD423-Z423,"")</f>
        <v/>
      </c>
      <c r="AM423" s="20" t="str">
        <f aca="false">IF(AND(AC423="Sold",N(AA423)&gt;0,AE423&lt;&gt;""),1-AE423/AA423,"")</f>
        <v/>
      </c>
      <c r="AN423" s="21" t="str">
        <f aca="true">IF(AND(AC423&lt;&gt;"Sold",AC423&lt;&gt;"",Z423&lt;&gt;""),TODAY()-Z423,"")</f>
        <v/>
      </c>
      <c r="AO423" s="4"/>
      <c r="AP423" s="4"/>
    </row>
    <row r="424" customFormat="false" ht="1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14"/>
      <c r="O424" s="15"/>
      <c r="P424" s="16"/>
      <c r="Q424" s="4"/>
      <c r="R424" s="17"/>
      <c r="S424" s="18" t="str">
        <f aca="false">IF(OR(P424="",R424=""),"",P424*R424)</f>
        <v/>
      </c>
      <c r="T424" s="14"/>
      <c r="U424" s="14"/>
      <c r="V424" s="14"/>
      <c r="W424" s="14"/>
      <c r="X424" s="18" t="str">
        <f aca="false">IF(S424="","",S424+N(T424)+N(U424)+N(V424)+N(W424))</f>
        <v/>
      </c>
      <c r="Y424" s="4"/>
      <c r="Z424" s="15"/>
      <c r="AA424" s="14"/>
      <c r="AB424" s="19"/>
      <c r="AC424" s="4"/>
      <c r="AD424" s="15"/>
      <c r="AE424" s="14"/>
      <c r="AF424" s="14"/>
      <c r="AG424" s="14"/>
      <c r="AH424" s="18" t="str">
        <f aca="false">IF(AND(AC424="Sold",AE424&lt;&gt;"",AF424&lt;&gt;""),AE424-AF424,"")</f>
        <v/>
      </c>
      <c r="AI424" s="18" t="str">
        <f aca="false">IF(AND(AC424="Sold",AF424&lt;&gt;"",X424&lt;&gt;""),AF424-N(AG424)-X424,"")</f>
        <v/>
      </c>
      <c r="AJ424" s="20" t="str">
        <f aca="false">IF(AND(AI424&lt;&gt;"",N(AE424)&gt;0),AI424/AE424,"")</f>
        <v/>
      </c>
      <c r="AK424" s="20" t="str">
        <f aca="false">IF(AND(AI424&lt;&gt;"",N(X424)&gt;0),AI424/X424,"")</f>
        <v/>
      </c>
      <c r="AL424" s="21" t="str">
        <f aca="false">IF(AND(AC424="Sold",AD424&lt;&gt;"",Z424&lt;&gt;""),AD424-Z424,"")</f>
        <v/>
      </c>
      <c r="AM424" s="20" t="str">
        <f aca="false">IF(AND(AC424="Sold",N(AA424)&gt;0,AE424&lt;&gt;""),1-AE424/AA424,"")</f>
        <v/>
      </c>
      <c r="AN424" s="21" t="str">
        <f aca="true">IF(AND(AC424&lt;&gt;"Sold",AC424&lt;&gt;"",Z424&lt;&gt;""),TODAY()-Z424,"")</f>
        <v/>
      </c>
      <c r="AO424" s="4"/>
      <c r="AP424" s="4"/>
    </row>
    <row r="425" customFormat="false" ht="1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14"/>
      <c r="O425" s="15"/>
      <c r="P425" s="16"/>
      <c r="Q425" s="4"/>
      <c r="R425" s="17"/>
      <c r="S425" s="18" t="str">
        <f aca="false">IF(OR(P425="",R425=""),"",P425*R425)</f>
        <v/>
      </c>
      <c r="T425" s="14"/>
      <c r="U425" s="14"/>
      <c r="V425" s="14"/>
      <c r="W425" s="14"/>
      <c r="X425" s="18" t="str">
        <f aca="false">IF(S425="","",S425+N(T425)+N(U425)+N(V425)+N(W425))</f>
        <v/>
      </c>
      <c r="Y425" s="4"/>
      <c r="Z425" s="15"/>
      <c r="AA425" s="14"/>
      <c r="AB425" s="19"/>
      <c r="AC425" s="4"/>
      <c r="AD425" s="15"/>
      <c r="AE425" s="14"/>
      <c r="AF425" s="14"/>
      <c r="AG425" s="14"/>
      <c r="AH425" s="18" t="str">
        <f aca="false">IF(AND(AC425="Sold",AE425&lt;&gt;"",AF425&lt;&gt;""),AE425-AF425,"")</f>
        <v/>
      </c>
      <c r="AI425" s="18" t="str">
        <f aca="false">IF(AND(AC425="Sold",AF425&lt;&gt;"",X425&lt;&gt;""),AF425-N(AG425)-X425,"")</f>
        <v/>
      </c>
      <c r="AJ425" s="20" t="str">
        <f aca="false">IF(AND(AI425&lt;&gt;"",N(AE425)&gt;0),AI425/AE425,"")</f>
        <v/>
      </c>
      <c r="AK425" s="20" t="str">
        <f aca="false">IF(AND(AI425&lt;&gt;"",N(X425)&gt;0),AI425/X425,"")</f>
        <v/>
      </c>
      <c r="AL425" s="21" t="str">
        <f aca="false">IF(AND(AC425="Sold",AD425&lt;&gt;"",Z425&lt;&gt;""),AD425-Z425,"")</f>
        <v/>
      </c>
      <c r="AM425" s="20" t="str">
        <f aca="false">IF(AND(AC425="Sold",N(AA425)&gt;0,AE425&lt;&gt;""),1-AE425/AA425,"")</f>
        <v/>
      </c>
      <c r="AN425" s="21" t="str">
        <f aca="true">IF(AND(AC425&lt;&gt;"Sold",AC425&lt;&gt;"",Z425&lt;&gt;""),TODAY()-Z425,"")</f>
        <v/>
      </c>
      <c r="AO425" s="4"/>
      <c r="AP425" s="4"/>
    </row>
    <row r="426" customFormat="false" ht="1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14"/>
      <c r="O426" s="15"/>
      <c r="P426" s="16"/>
      <c r="Q426" s="4"/>
      <c r="R426" s="17"/>
      <c r="S426" s="18" t="str">
        <f aca="false">IF(OR(P426="",R426=""),"",P426*R426)</f>
        <v/>
      </c>
      <c r="T426" s="14"/>
      <c r="U426" s="14"/>
      <c r="V426" s="14"/>
      <c r="W426" s="14"/>
      <c r="X426" s="18" t="str">
        <f aca="false">IF(S426="","",S426+N(T426)+N(U426)+N(V426)+N(W426))</f>
        <v/>
      </c>
      <c r="Y426" s="4"/>
      <c r="Z426" s="15"/>
      <c r="AA426" s="14"/>
      <c r="AB426" s="19"/>
      <c r="AC426" s="4"/>
      <c r="AD426" s="15"/>
      <c r="AE426" s="14"/>
      <c r="AF426" s="14"/>
      <c r="AG426" s="14"/>
      <c r="AH426" s="18" t="str">
        <f aca="false">IF(AND(AC426="Sold",AE426&lt;&gt;"",AF426&lt;&gt;""),AE426-AF426,"")</f>
        <v/>
      </c>
      <c r="AI426" s="18" t="str">
        <f aca="false">IF(AND(AC426="Sold",AF426&lt;&gt;"",X426&lt;&gt;""),AF426-N(AG426)-X426,"")</f>
        <v/>
      </c>
      <c r="AJ426" s="20" t="str">
        <f aca="false">IF(AND(AI426&lt;&gt;"",N(AE426)&gt;0),AI426/AE426,"")</f>
        <v/>
      </c>
      <c r="AK426" s="20" t="str">
        <f aca="false">IF(AND(AI426&lt;&gt;"",N(X426)&gt;0),AI426/X426,"")</f>
        <v/>
      </c>
      <c r="AL426" s="21" t="str">
        <f aca="false">IF(AND(AC426="Sold",AD426&lt;&gt;"",Z426&lt;&gt;""),AD426-Z426,"")</f>
        <v/>
      </c>
      <c r="AM426" s="20" t="str">
        <f aca="false">IF(AND(AC426="Sold",N(AA426)&gt;0,AE426&lt;&gt;""),1-AE426/AA426,"")</f>
        <v/>
      </c>
      <c r="AN426" s="21" t="str">
        <f aca="true">IF(AND(AC426&lt;&gt;"Sold",AC426&lt;&gt;"",Z426&lt;&gt;""),TODAY()-Z426,"")</f>
        <v/>
      </c>
      <c r="AO426" s="4"/>
      <c r="AP426" s="4"/>
    </row>
    <row r="427" customFormat="false" ht="1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14"/>
      <c r="O427" s="15"/>
      <c r="P427" s="16"/>
      <c r="Q427" s="4"/>
      <c r="R427" s="17"/>
      <c r="S427" s="18" t="str">
        <f aca="false">IF(OR(P427="",R427=""),"",P427*R427)</f>
        <v/>
      </c>
      <c r="T427" s="14"/>
      <c r="U427" s="14"/>
      <c r="V427" s="14"/>
      <c r="W427" s="14"/>
      <c r="X427" s="18" t="str">
        <f aca="false">IF(S427="","",S427+N(T427)+N(U427)+N(V427)+N(W427))</f>
        <v/>
      </c>
      <c r="Y427" s="4"/>
      <c r="Z427" s="15"/>
      <c r="AA427" s="14"/>
      <c r="AB427" s="19"/>
      <c r="AC427" s="4"/>
      <c r="AD427" s="15"/>
      <c r="AE427" s="14"/>
      <c r="AF427" s="14"/>
      <c r="AG427" s="14"/>
      <c r="AH427" s="18" t="str">
        <f aca="false">IF(AND(AC427="Sold",AE427&lt;&gt;"",AF427&lt;&gt;""),AE427-AF427,"")</f>
        <v/>
      </c>
      <c r="AI427" s="18" t="str">
        <f aca="false">IF(AND(AC427="Sold",AF427&lt;&gt;"",X427&lt;&gt;""),AF427-N(AG427)-X427,"")</f>
        <v/>
      </c>
      <c r="AJ427" s="20" t="str">
        <f aca="false">IF(AND(AI427&lt;&gt;"",N(AE427)&gt;0),AI427/AE427,"")</f>
        <v/>
      </c>
      <c r="AK427" s="20" t="str">
        <f aca="false">IF(AND(AI427&lt;&gt;"",N(X427)&gt;0),AI427/X427,"")</f>
        <v/>
      </c>
      <c r="AL427" s="21" t="str">
        <f aca="false">IF(AND(AC427="Sold",AD427&lt;&gt;"",Z427&lt;&gt;""),AD427-Z427,"")</f>
        <v/>
      </c>
      <c r="AM427" s="20" t="str">
        <f aca="false">IF(AND(AC427="Sold",N(AA427)&gt;0,AE427&lt;&gt;""),1-AE427/AA427,"")</f>
        <v/>
      </c>
      <c r="AN427" s="21" t="str">
        <f aca="true">IF(AND(AC427&lt;&gt;"Sold",AC427&lt;&gt;"",Z427&lt;&gt;""),TODAY()-Z427,"")</f>
        <v/>
      </c>
      <c r="AO427" s="4"/>
      <c r="AP427" s="4"/>
    </row>
    <row r="428" customFormat="false" ht="1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14"/>
      <c r="O428" s="15"/>
      <c r="P428" s="16"/>
      <c r="Q428" s="4"/>
      <c r="R428" s="17"/>
      <c r="S428" s="18" t="str">
        <f aca="false">IF(OR(P428="",R428=""),"",P428*R428)</f>
        <v/>
      </c>
      <c r="T428" s="14"/>
      <c r="U428" s="14"/>
      <c r="V428" s="14"/>
      <c r="W428" s="14"/>
      <c r="X428" s="18" t="str">
        <f aca="false">IF(S428="","",S428+N(T428)+N(U428)+N(V428)+N(W428))</f>
        <v/>
      </c>
      <c r="Y428" s="4"/>
      <c r="Z428" s="15"/>
      <c r="AA428" s="14"/>
      <c r="AB428" s="19"/>
      <c r="AC428" s="4"/>
      <c r="AD428" s="15"/>
      <c r="AE428" s="14"/>
      <c r="AF428" s="14"/>
      <c r="AG428" s="14"/>
      <c r="AH428" s="18" t="str">
        <f aca="false">IF(AND(AC428="Sold",AE428&lt;&gt;"",AF428&lt;&gt;""),AE428-AF428,"")</f>
        <v/>
      </c>
      <c r="AI428" s="18" t="str">
        <f aca="false">IF(AND(AC428="Sold",AF428&lt;&gt;"",X428&lt;&gt;""),AF428-N(AG428)-X428,"")</f>
        <v/>
      </c>
      <c r="AJ428" s="20" t="str">
        <f aca="false">IF(AND(AI428&lt;&gt;"",N(AE428)&gt;0),AI428/AE428,"")</f>
        <v/>
      </c>
      <c r="AK428" s="20" t="str">
        <f aca="false">IF(AND(AI428&lt;&gt;"",N(X428)&gt;0),AI428/X428,"")</f>
        <v/>
      </c>
      <c r="AL428" s="21" t="str">
        <f aca="false">IF(AND(AC428="Sold",AD428&lt;&gt;"",Z428&lt;&gt;""),AD428-Z428,"")</f>
        <v/>
      </c>
      <c r="AM428" s="20" t="str">
        <f aca="false">IF(AND(AC428="Sold",N(AA428)&gt;0,AE428&lt;&gt;""),1-AE428/AA428,"")</f>
        <v/>
      </c>
      <c r="AN428" s="21" t="str">
        <f aca="true">IF(AND(AC428&lt;&gt;"Sold",AC428&lt;&gt;"",Z428&lt;&gt;""),TODAY()-Z428,"")</f>
        <v/>
      </c>
      <c r="AO428" s="4"/>
      <c r="AP428" s="4"/>
    </row>
    <row r="429" customFormat="false" ht="1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14"/>
      <c r="O429" s="15"/>
      <c r="P429" s="16"/>
      <c r="Q429" s="4"/>
      <c r="R429" s="17"/>
      <c r="S429" s="18" t="str">
        <f aca="false">IF(OR(P429="",R429=""),"",P429*R429)</f>
        <v/>
      </c>
      <c r="T429" s="14"/>
      <c r="U429" s="14"/>
      <c r="V429" s="14"/>
      <c r="W429" s="14"/>
      <c r="X429" s="18" t="str">
        <f aca="false">IF(S429="","",S429+N(T429)+N(U429)+N(V429)+N(W429))</f>
        <v/>
      </c>
      <c r="Y429" s="4"/>
      <c r="Z429" s="15"/>
      <c r="AA429" s="14"/>
      <c r="AB429" s="19"/>
      <c r="AC429" s="4"/>
      <c r="AD429" s="15"/>
      <c r="AE429" s="14"/>
      <c r="AF429" s="14"/>
      <c r="AG429" s="14"/>
      <c r="AH429" s="18" t="str">
        <f aca="false">IF(AND(AC429="Sold",AE429&lt;&gt;"",AF429&lt;&gt;""),AE429-AF429,"")</f>
        <v/>
      </c>
      <c r="AI429" s="18" t="str">
        <f aca="false">IF(AND(AC429="Sold",AF429&lt;&gt;"",X429&lt;&gt;""),AF429-N(AG429)-X429,"")</f>
        <v/>
      </c>
      <c r="AJ429" s="20" t="str">
        <f aca="false">IF(AND(AI429&lt;&gt;"",N(AE429)&gt;0),AI429/AE429,"")</f>
        <v/>
      </c>
      <c r="AK429" s="20" t="str">
        <f aca="false">IF(AND(AI429&lt;&gt;"",N(X429)&gt;0),AI429/X429,"")</f>
        <v/>
      </c>
      <c r="AL429" s="21" t="str">
        <f aca="false">IF(AND(AC429="Sold",AD429&lt;&gt;"",Z429&lt;&gt;""),AD429-Z429,"")</f>
        <v/>
      </c>
      <c r="AM429" s="20" t="str">
        <f aca="false">IF(AND(AC429="Sold",N(AA429)&gt;0,AE429&lt;&gt;""),1-AE429/AA429,"")</f>
        <v/>
      </c>
      <c r="AN429" s="21" t="str">
        <f aca="true">IF(AND(AC429&lt;&gt;"Sold",AC429&lt;&gt;"",Z429&lt;&gt;""),TODAY()-Z429,"")</f>
        <v/>
      </c>
      <c r="AO429" s="4"/>
      <c r="AP429" s="4"/>
    </row>
    <row r="430" customFormat="false" ht="1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14"/>
      <c r="O430" s="15"/>
      <c r="P430" s="16"/>
      <c r="Q430" s="4"/>
      <c r="R430" s="17"/>
      <c r="S430" s="18" t="str">
        <f aca="false">IF(OR(P430="",R430=""),"",P430*R430)</f>
        <v/>
      </c>
      <c r="T430" s="14"/>
      <c r="U430" s="14"/>
      <c r="V430" s="14"/>
      <c r="W430" s="14"/>
      <c r="X430" s="18" t="str">
        <f aca="false">IF(S430="","",S430+N(T430)+N(U430)+N(V430)+N(W430))</f>
        <v/>
      </c>
      <c r="Y430" s="4"/>
      <c r="Z430" s="15"/>
      <c r="AA430" s="14"/>
      <c r="AB430" s="19"/>
      <c r="AC430" s="4"/>
      <c r="AD430" s="15"/>
      <c r="AE430" s="14"/>
      <c r="AF430" s="14"/>
      <c r="AG430" s="14"/>
      <c r="AH430" s="18" t="str">
        <f aca="false">IF(AND(AC430="Sold",AE430&lt;&gt;"",AF430&lt;&gt;""),AE430-AF430,"")</f>
        <v/>
      </c>
      <c r="AI430" s="18" t="str">
        <f aca="false">IF(AND(AC430="Sold",AF430&lt;&gt;"",X430&lt;&gt;""),AF430-N(AG430)-X430,"")</f>
        <v/>
      </c>
      <c r="AJ430" s="20" t="str">
        <f aca="false">IF(AND(AI430&lt;&gt;"",N(AE430)&gt;0),AI430/AE430,"")</f>
        <v/>
      </c>
      <c r="AK430" s="20" t="str">
        <f aca="false">IF(AND(AI430&lt;&gt;"",N(X430)&gt;0),AI430/X430,"")</f>
        <v/>
      </c>
      <c r="AL430" s="21" t="str">
        <f aca="false">IF(AND(AC430="Sold",AD430&lt;&gt;"",Z430&lt;&gt;""),AD430-Z430,"")</f>
        <v/>
      </c>
      <c r="AM430" s="20" t="str">
        <f aca="false">IF(AND(AC430="Sold",N(AA430)&gt;0,AE430&lt;&gt;""),1-AE430/AA430,"")</f>
        <v/>
      </c>
      <c r="AN430" s="21" t="str">
        <f aca="true">IF(AND(AC430&lt;&gt;"Sold",AC430&lt;&gt;"",Z430&lt;&gt;""),TODAY()-Z430,"")</f>
        <v/>
      </c>
      <c r="AO430" s="4"/>
      <c r="AP430" s="4"/>
    </row>
    <row r="431" customFormat="false" ht="1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14"/>
      <c r="O431" s="15"/>
      <c r="P431" s="16"/>
      <c r="Q431" s="4"/>
      <c r="R431" s="17"/>
      <c r="S431" s="18" t="str">
        <f aca="false">IF(OR(P431="",R431=""),"",P431*R431)</f>
        <v/>
      </c>
      <c r="T431" s="14"/>
      <c r="U431" s="14"/>
      <c r="V431" s="14"/>
      <c r="W431" s="14"/>
      <c r="X431" s="18" t="str">
        <f aca="false">IF(S431="","",S431+N(T431)+N(U431)+N(V431)+N(W431))</f>
        <v/>
      </c>
      <c r="Y431" s="4"/>
      <c r="Z431" s="15"/>
      <c r="AA431" s="14"/>
      <c r="AB431" s="19"/>
      <c r="AC431" s="4"/>
      <c r="AD431" s="15"/>
      <c r="AE431" s="14"/>
      <c r="AF431" s="14"/>
      <c r="AG431" s="14"/>
      <c r="AH431" s="18" t="str">
        <f aca="false">IF(AND(AC431="Sold",AE431&lt;&gt;"",AF431&lt;&gt;""),AE431-AF431,"")</f>
        <v/>
      </c>
      <c r="AI431" s="18" t="str">
        <f aca="false">IF(AND(AC431="Sold",AF431&lt;&gt;"",X431&lt;&gt;""),AF431-N(AG431)-X431,"")</f>
        <v/>
      </c>
      <c r="AJ431" s="20" t="str">
        <f aca="false">IF(AND(AI431&lt;&gt;"",N(AE431)&gt;0),AI431/AE431,"")</f>
        <v/>
      </c>
      <c r="AK431" s="20" t="str">
        <f aca="false">IF(AND(AI431&lt;&gt;"",N(X431)&gt;0),AI431/X431,"")</f>
        <v/>
      </c>
      <c r="AL431" s="21" t="str">
        <f aca="false">IF(AND(AC431="Sold",AD431&lt;&gt;"",Z431&lt;&gt;""),AD431-Z431,"")</f>
        <v/>
      </c>
      <c r="AM431" s="20" t="str">
        <f aca="false">IF(AND(AC431="Sold",N(AA431)&gt;0,AE431&lt;&gt;""),1-AE431/AA431,"")</f>
        <v/>
      </c>
      <c r="AN431" s="21" t="str">
        <f aca="true">IF(AND(AC431&lt;&gt;"Sold",AC431&lt;&gt;"",Z431&lt;&gt;""),TODAY()-Z431,"")</f>
        <v/>
      </c>
      <c r="AO431" s="4"/>
      <c r="AP431" s="4"/>
    </row>
    <row r="432" customFormat="false" ht="1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14"/>
      <c r="O432" s="15"/>
      <c r="P432" s="16"/>
      <c r="Q432" s="4"/>
      <c r="R432" s="17"/>
      <c r="S432" s="18" t="str">
        <f aca="false">IF(OR(P432="",R432=""),"",P432*R432)</f>
        <v/>
      </c>
      <c r="T432" s="14"/>
      <c r="U432" s="14"/>
      <c r="V432" s="14"/>
      <c r="W432" s="14"/>
      <c r="X432" s="18" t="str">
        <f aca="false">IF(S432="","",S432+N(T432)+N(U432)+N(V432)+N(W432))</f>
        <v/>
      </c>
      <c r="Y432" s="4"/>
      <c r="Z432" s="15"/>
      <c r="AA432" s="14"/>
      <c r="AB432" s="19"/>
      <c r="AC432" s="4"/>
      <c r="AD432" s="15"/>
      <c r="AE432" s="14"/>
      <c r="AF432" s="14"/>
      <c r="AG432" s="14"/>
      <c r="AH432" s="18" t="str">
        <f aca="false">IF(AND(AC432="Sold",AE432&lt;&gt;"",AF432&lt;&gt;""),AE432-AF432,"")</f>
        <v/>
      </c>
      <c r="AI432" s="18" t="str">
        <f aca="false">IF(AND(AC432="Sold",AF432&lt;&gt;"",X432&lt;&gt;""),AF432-N(AG432)-X432,"")</f>
        <v/>
      </c>
      <c r="AJ432" s="20" t="str">
        <f aca="false">IF(AND(AI432&lt;&gt;"",N(AE432)&gt;0),AI432/AE432,"")</f>
        <v/>
      </c>
      <c r="AK432" s="20" t="str">
        <f aca="false">IF(AND(AI432&lt;&gt;"",N(X432)&gt;0),AI432/X432,"")</f>
        <v/>
      </c>
      <c r="AL432" s="21" t="str">
        <f aca="false">IF(AND(AC432="Sold",AD432&lt;&gt;"",Z432&lt;&gt;""),AD432-Z432,"")</f>
        <v/>
      </c>
      <c r="AM432" s="20" t="str">
        <f aca="false">IF(AND(AC432="Sold",N(AA432)&gt;0,AE432&lt;&gt;""),1-AE432/AA432,"")</f>
        <v/>
      </c>
      <c r="AN432" s="21" t="str">
        <f aca="true">IF(AND(AC432&lt;&gt;"Sold",AC432&lt;&gt;"",Z432&lt;&gt;""),TODAY()-Z432,"")</f>
        <v/>
      </c>
      <c r="AO432" s="4"/>
      <c r="AP432" s="4"/>
    </row>
    <row r="433" customFormat="false" ht="1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14"/>
      <c r="O433" s="15"/>
      <c r="P433" s="16"/>
      <c r="Q433" s="4"/>
      <c r="R433" s="17"/>
      <c r="S433" s="18" t="str">
        <f aca="false">IF(OR(P433="",R433=""),"",P433*R433)</f>
        <v/>
      </c>
      <c r="T433" s="14"/>
      <c r="U433" s="14"/>
      <c r="V433" s="14"/>
      <c r="W433" s="14"/>
      <c r="X433" s="18" t="str">
        <f aca="false">IF(S433="","",S433+N(T433)+N(U433)+N(V433)+N(W433))</f>
        <v/>
      </c>
      <c r="Y433" s="4"/>
      <c r="Z433" s="15"/>
      <c r="AA433" s="14"/>
      <c r="AB433" s="19"/>
      <c r="AC433" s="4"/>
      <c r="AD433" s="15"/>
      <c r="AE433" s="14"/>
      <c r="AF433" s="14"/>
      <c r="AG433" s="14"/>
      <c r="AH433" s="18" t="str">
        <f aca="false">IF(AND(AC433="Sold",AE433&lt;&gt;"",AF433&lt;&gt;""),AE433-AF433,"")</f>
        <v/>
      </c>
      <c r="AI433" s="18" t="str">
        <f aca="false">IF(AND(AC433="Sold",AF433&lt;&gt;"",X433&lt;&gt;""),AF433-N(AG433)-X433,"")</f>
        <v/>
      </c>
      <c r="AJ433" s="20" t="str">
        <f aca="false">IF(AND(AI433&lt;&gt;"",N(AE433)&gt;0),AI433/AE433,"")</f>
        <v/>
      </c>
      <c r="AK433" s="20" t="str">
        <f aca="false">IF(AND(AI433&lt;&gt;"",N(X433)&gt;0),AI433/X433,"")</f>
        <v/>
      </c>
      <c r="AL433" s="21" t="str">
        <f aca="false">IF(AND(AC433="Sold",AD433&lt;&gt;"",Z433&lt;&gt;""),AD433-Z433,"")</f>
        <v/>
      </c>
      <c r="AM433" s="20" t="str">
        <f aca="false">IF(AND(AC433="Sold",N(AA433)&gt;0,AE433&lt;&gt;""),1-AE433/AA433,"")</f>
        <v/>
      </c>
      <c r="AN433" s="21" t="str">
        <f aca="true">IF(AND(AC433&lt;&gt;"Sold",AC433&lt;&gt;"",Z433&lt;&gt;""),TODAY()-Z433,"")</f>
        <v/>
      </c>
      <c r="AO433" s="4"/>
      <c r="AP433" s="4"/>
    </row>
    <row r="434" customFormat="false" ht="1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14"/>
      <c r="O434" s="15"/>
      <c r="P434" s="16"/>
      <c r="Q434" s="4"/>
      <c r="R434" s="17"/>
      <c r="S434" s="18" t="str">
        <f aca="false">IF(OR(P434="",R434=""),"",P434*R434)</f>
        <v/>
      </c>
      <c r="T434" s="14"/>
      <c r="U434" s="14"/>
      <c r="V434" s="14"/>
      <c r="W434" s="14"/>
      <c r="X434" s="18" t="str">
        <f aca="false">IF(S434="","",S434+N(T434)+N(U434)+N(V434)+N(W434))</f>
        <v/>
      </c>
      <c r="Y434" s="4"/>
      <c r="Z434" s="15"/>
      <c r="AA434" s="14"/>
      <c r="AB434" s="19"/>
      <c r="AC434" s="4"/>
      <c r="AD434" s="15"/>
      <c r="AE434" s="14"/>
      <c r="AF434" s="14"/>
      <c r="AG434" s="14"/>
      <c r="AH434" s="18" t="str">
        <f aca="false">IF(AND(AC434="Sold",AE434&lt;&gt;"",AF434&lt;&gt;""),AE434-AF434,"")</f>
        <v/>
      </c>
      <c r="AI434" s="18" t="str">
        <f aca="false">IF(AND(AC434="Sold",AF434&lt;&gt;"",X434&lt;&gt;""),AF434-N(AG434)-X434,"")</f>
        <v/>
      </c>
      <c r="AJ434" s="20" t="str">
        <f aca="false">IF(AND(AI434&lt;&gt;"",N(AE434)&gt;0),AI434/AE434,"")</f>
        <v/>
      </c>
      <c r="AK434" s="20" t="str">
        <f aca="false">IF(AND(AI434&lt;&gt;"",N(X434)&gt;0),AI434/X434,"")</f>
        <v/>
      </c>
      <c r="AL434" s="21" t="str">
        <f aca="false">IF(AND(AC434="Sold",AD434&lt;&gt;"",Z434&lt;&gt;""),AD434-Z434,"")</f>
        <v/>
      </c>
      <c r="AM434" s="20" t="str">
        <f aca="false">IF(AND(AC434="Sold",N(AA434)&gt;0,AE434&lt;&gt;""),1-AE434/AA434,"")</f>
        <v/>
      </c>
      <c r="AN434" s="21" t="str">
        <f aca="true">IF(AND(AC434&lt;&gt;"Sold",AC434&lt;&gt;"",Z434&lt;&gt;""),TODAY()-Z434,"")</f>
        <v/>
      </c>
      <c r="AO434" s="4"/>
      <c r="AP434" s="4"/>
    </row>
    <row r="435" customFormat="false" ht="1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14"/>
      <c r="O435" s="15"/>
      <c r="P435" s="16"/>
      <c r="Q435" s="4"/>
      <c r="R435" s="17"/>
      <c r="S435" s="18" t="str">
        <f aca="false">IF(OR(P435="",R435=""),"",P435*R435)</f>
        <v/>
      </c>
      <c r="T435" s="14"/>
      <c r="U435" s="14"/>
      <c r="V435" s="14"/>
      <c r="W435" s="14"/>
      <c r="X435" s="18" t="str">
        <f aca="false">IF(S435="","",S435+N(T435)+N(U435)+N(V435)+N(W435))</f>
        <v/>
      </c>
      <c r="Y435" s="4"/>
      <c r="Z435" s="15"/>
      <c r="AA435" s="14"/>
      <c r="AB435" s="19"/>
      <c r="AC435" s="4"/>
      <c r="AD435" s="15"/>
      <c r="AE435" s="14"/>
      <c r="AF435" s="14"/>
      <c r="AG435" s="14"/>
      <c r="AH435" s="18" t="str">
        <f aca="false">IF(AND(AC435="Sold",AE435&lt;&gt;"",AF435&lt;&gt;""),AE435-AF435,"")</f>
        <v/>
      </c>
      <c r="AI435" s="18" t="str">
        <f aca="false">IF(AND(AC435="Sold",AF435&lt;&gt;"",X435&lt;&gt;""),AF435-N(AG435)-X435,"")</f>
        <v/>
      </c>
      <c r="AJ435" s="20" t="str">
        <f aca="false">IF(AND(AI435&lt;&gt;"",N(AE435)&gt;0),AI435/AE435,"")</f>
        <v/>
      </c>
      <c r="AK435" s="20" t="str">
        <f aca="false">IF(AND(AI435&lt;&gt;"",N(X435)&gt;0),AI435/X435,"")</f>
        <v/>
      </c>
      <c r="AL435" s="21" t="str">
        <f aca="false">IF(AND(AC435="Sold",AD435&lt;&gt;"",Z435&lt;&gt;""),AD435-Z435,"")</f>
        <v/>
      </c>
      <c r="AM435" s="20" t="str">
        <f aca="false">IF(AND(AC435="Sold",N(AA435)&gt;0,AE435&lt;&gt;""),1-AE435/AA435,"")</f>
        <v/>
      </c>
      <c r="AN435" s="21" t="str">
        <f aca="true">IF(AND(AC435&lt;&gt;"Sold",AC435&lt;&gt;"",Z435&lt;&gt;""),TODAY()-Z435,"")</f>
        <v/>
      </c>
      <c r="AO435" s="4"/>
      <c r="AP435" s="4"/>
    </row>
    <row r="436" customFormat="false" ht="1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14"/>
      <c r="O436" s="15"/>
      <c r="P436" s="16"/>
      <c r="Q436" s="4"/>
      <c r="R436" s="17"/>
      <c r="S436" s="18" t="str">
        <f aca="false">IF(OR(P436="",R436=""),"",P436*R436)</f>
        <v/>
      </c>
      <c r="T436" s="14"/>
      <c r="U436" s="14"/>
      <c r="V436" s="14"/>
      <c r="W436" s="14"/>
      <c r="X436" s="18" t="str">
        <f aca="false">IF(S436="","",S436+N(T436)+N(U436)+N(V436)+N(W436))</f>
        <v/>
      </c>
      <c r="Y436" s="4"/>
      <c r="Z436" s="15"/>
      <c r="AA436" s="14"/>
      <c r="AB436" s="19"/>
      <c r="AC436" s="4"/>
      <c r="AD436" s="15"/>
      <c r="AE436" s="14"/>
      <c r="AF436" s="14"/>
      <c r="AG436" s="14"/>
      <c r="AH436" s="18" t="str">
        <f aca="false">IF(AND(AC436="Sold",AE436&lt;&gt;"",AF436&lt;&gt;""),AE436-AF436,"")</f>
        <v/>
      </c>
      <c r="AI436" s="18" t="str">
        <f aca="false">IF(AND(AC436="Sold",AF436&lt;&gt;"",X436&lt;&gt;""),AF436-N(AG436)-X436,"")</f>
        <v/>
      </c>
      <c r="AJ436" s="20" t="str">
        <f aca="false">IF(AND(AI436&lt;&gt;"",N(AE436)&gt;0),AI436/AE436,"")</f>
        <v/>
      </c>
      <c r="AK436" s="20" t="str">
        <f aca="false">IF(AND(AI436&lt;&gt;"",N(X436)&gt;0),AI436/X436,"")</f>
        <v/>
      </c>
      <c r="AL436" s="21" t="str">
        <f aca="false">IF(AND(AC436="Sold",AD436&lt;&gt;"",Z436&lt;&gt;""),AD436-Z436,"")</f>
        <v/>
      </c>
      <c r="AM436" s="20" t="str">
        <f aca="false">IF(AND(AC436="Sold",N(AA436)&gt;0,AE436&lt;&gt;""),1-AE436/AA436,"")</f>
        <v/>
      </c>
      <c r="AN436" s="21" t="str">
        <f aca="true">IF(AND(AC436&lt;&gt;"Sold",AC436&lt;&gt;"",Z436&lt;&gt;""),TODAY()-Z436,"")</f>
        <v/>
      </c>
      <c r="AO436" s="4"/>
      <c r="AP436" s="4"/>
    </row>
    <row r="437" customFormat="false" ht="1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14"/>
      <c r="O437" s="15"/>
      <c r="P437" s="16"/>
      <c r="Q437" s="4"/>
      <c r="R437" s="17"/>
      <c r="S437" s="18" t="str">
        <f aca="false">IF(OR(P437="",R437=""),"",P437*R437)</f>
        <v/>
      </c>
      <c r="T437" s="14"/>
      <c r="U437" s="14"/>
      <c r="V437" s="14"/>
      <c r="W437" s="14"/>
      <c r="X437" s="18" t="str">
        <f aca="false">IF(S437="","",S437+N(T437)+N(U437)+N(V437)+N(W437))</f>
        <v/>
      </c>
      <c r="Y437" s="4"/>
      <c r="Z437" s="15"/>
      <c r="AA437" s="14"/>
      <c r="AB437" s="19"/>
      <c r="AC437" s="4"/>
      <c r="AD437" s="15"/>
      <c r="AE437" s="14"/>
      <c r="AF437" s="14"/>
      <c r="AG437" s="14"/>
      <c r="AH437" s="18" t="str">
        <f aca="false">IF(AND(AC437="Sold",AE437&lt;&gt;"",AF437&lt;&gt;""),AE437-AF437,"")</f>
        <v/>
      </c>
      <c r="AI437" s="18" t="str">
        <f aca="false">IF(AND(AC437="Sold",AF437&lt;&gt;"",X437&lt;&gt;""),AF437-N(AG437)-X437,"")</f>
        <v/>
      </c>
      <c r="AJ437" s="20" t="str">
        <f aca="false">IF(AND(AI437&lt;&gt;"",N(AE437)&gt;0),AI437/AE437,"")</f>
        <v/>
      </c>
      <c r="AK437" s="20" t="str">
        <f aca="false">IF(AND(AI437&lt;&gt;"",N(X437)&gt;0),AI437/X437,"")</f>
        <v/>
      </c>
      <c r="AL437" s="21" t="str">
        <f aca="false">IF(AND(AC437="Sold",AD437&lt;&gt;"",Z437&lt;&gt;""),AD437-Z437,"")</f>
        <v/>
      </c>
      <c r="AM437" s="20" t="str">
        <f aca="false">IF(AND(AC437="Sold",N(AA437)&gt;0,AE437&lt;&gt;""),1-AE437/AA437,"")</f>
        <v/>
      </c>
      <c r="AN437" s="21" t="str">
        <f aca="true">IF(AND(AC437&lt;&gt;"Sold",AC437&lt;&gt;"",Z437&lt;&gt;""),TODAY()-Z437,"")</f>
        <v/>
      </c>
      <c r="AO437" s="4"/>
      <c r="AP437" s="4"/>
    </row>
    <row r="438" customFormat="false" ht="1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14"/>
      <c r="O438" s="15"/>
      <c r="P438" s="16"/>
      <c r="Q438" s="4"/>
      <c r="R438" s="17"/>
      <c r="S438" s="18" t="str">
        <f aca="false">IF(OR(P438="",R438=""),"",P438*R438)</f>
        <v/>
      </c>
      <c r="T438" s="14"/>
      <c r="U438" s="14"/>
      <c r="V438" s="14"/>
      <c r="W438" s="14"/>
      <c r="X438" s="18" t="str">
        <f aca="false">IF(S438="","",S438+N(T438)+N(U438)+N(V438)+N(W438))</f>
        <v/>
      </c>
      <c r="Y438" s="4"/>
      <c r="Z438" s="15"/>
      <c r="AA438" s="14"/>
      <c r="AB438" s="19"/>
      <c r="AC438" s="4"/>
      <c r="AD438" s="15"/>
      <c r="AE438" s="14"/>
      <c r="AF438" s="14"/>
      <c r="AG438" s="14"/>
      <c r="AH438" s="18" t="str">
        <f aca="false">IF(AND(AC438="Sold",AE438&lt;&gt;"",AF438&lt;&gt;""),AE438-AF438,"")</f>
        <v/>
      </c>
      <c r="AI438" s="18" t="str">
        <f aca="false">IF(AND(AC438="Sold",AF438&lt;&gt;"",X438&lt;&gt;""),AF438-N(AG438)-X438,"")</f>
        <v/>
      </c>
      <c r="AJ438" s="20" t="str">
        <f aca="false">IF(AND(AI438&lt;&gt;"",N(AE438)&gt;0),AI438/AE438,"")</f>
        <v/>
      </c>
      <c r="AK438" s="20" t="str">
        <f aca="false">IF(AND(AI438&lt;&gt;"",N(X438)&gt;0),AI438/X438,"")</f>
        <v/>
      </c>
      <c r="AL438" s="21" t="str">
        <f aca="false">IF(AND(AC438="Sold",AD438&lt;&gt;"",Z438&lt;&gt;""),AD438-Z438,"")</f>
        <v/>
      </c>
      <c r="AM438" s="20" t="str">
        <f aca="false">IF(AND(AC438="Sold",N(AA438)&gt;0,AE438&lt;&gt;""),1-AE438/AA438,"")</f>
        <v/>
      </c>
      <c r="AN438" s="21" t="str">
        <f aca="true">IF(AND(AC438&lt;&gt;"Sold",AC438&lt;&gt;"",Z438&lt;&gt;""),TODAY()-Z438,"")</f>
        <v/>
      </c>
      <c r="AO438" s="4"/>
      <c r="AP438" s="4"/>
    </row>
    <row r="439" customFormat="false" ht="1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14"/>
      <c r="O439" s="15"/>
      <c r="P439" s="16"/>
      <c r="Q439" s="4"/>
      <c r="R439" s="17"/>
      <c r="S439" s="18" t="str">
        <f aca="false">IF(OR(P439="",R439=""),"",P439*R439)</f>
        <v/>
      </c>
      <c r="T439" s="14"/>
      <c r="U439" s="14"/>
      <c r="V439" s="14"/>
      <c r="W439" s="14"/>
      <c r="X439" s="18" t="str">
        <f aca="false">IF(S439="","",S439+N(T439)+N(U439)+N(V439)+N(W439))</f>
        <v/>
      </c>
      <c r="Y439" s="4"/>
      <c r="Z439" s="15"/>
      <c r="AA439" s="14"/>
      <c r="AB439" s="19"/>
      <c r="AC439" s="4"/>
      <c r="AD439" s="15"/>
      <c r="AE439" s="14"/>
      <c r="AF439" s="14"/>
      <c r="AG439" s="14"/>
      <c r="AH439" s="18" t="str">
        <f aca="false">IF(AND(AC439="Sold",AE439&lt;&gt;"",AF439&lt;&gt;""),AE439-AF439,"")</f>
        <v/>
      </c>
      <c r="AI439" s="18" t="str">
        <f aca="false">IF(AND(AC439="Sold",AF439&lt;&gt;"",X439&lt;&gt;""),AF439-N(AG439)-X439,"")</f>
        <v/>
      </c>
      <c r="AJ439" s="20" t="str">
        <f aca="false">IF(AND(AI439&lt;&gt;"",N(AE439)&gt;0),AI439/AE439,"")</f>
        <v/>
      </c>
      <c r="AK439" s="20" t="str">
        <f aca="false">IF(AND(AI439&lt;&gt;"",N(X439)&gt;0),AI439/X439,"")</f>
        <v/>
      </c>
      <c r="AL439" s="21" t="str">
        <f aca="false">IF(AND(AC439="Sold",AD439&lt;&gt;"",Z439&lt;&gt;""),AD439-Z439,"")</f>
        <v/>
      </c>
      <c r="AM439" s="20" t="str">
        <f aca="false">IF(AND(AC439="Sold",N(AA439)&gt;0,AE439&lt;&gt;""),1-AE439/AA439,"")</f>
        <v/>
      </c>
      <c r="AN439" s="21" t="str">
        <f aca="true">IF(AND(AC439&lt;&gt;"Sold",AC439&lt;&gt;"",Z439&lt;&gt;""),TODAY()-Z439,"")</f>
        <v/>
      </c>
      <c r="AO439" s="4"/>
      <c r="AP439" s="4"/>
    </row>
    <row r="440" customFormat="false" ht="1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14"/>
      <c r="O440" s="15"/>
      <c r="P440" s="16"/>
      <c r="Q440" s="4"/>
      <c r="R440" s="17"/>
      <c r="S440" s="18" t="str">
        <f aca="false">IF(OR(P440="",R440=""),"",P440*R440)</f>
        <v/>
      </c>
      <c r="T440" s="14"/>
      <c r="U440" s="14"/>
      <c r="V440" s="14"/>
      <c r="W440" s="14"/>
      <c r="X440" s="18" t="str">
        <f aca="false">IF(S440="","",S440+N(T440)+N(U440)+N(V440)+N(W440))</f>
        <v/>
      </c>
      <c r="Y440" s="4"/>
      <c r="Z440" s="15"/>
      <c r="AA440" s="14"/>
      <c r="AB440" s="19"/>
      <c r="AC440" s="4"/>
      <c r="AD440" s="15"/>
      <c r="AE440" s="14"/>
      <c r="AF440" s="14"/>
      <c r="AG440" s="14"/>
      <c r="AH440" s="18" t="str">
        <f aca="false">IF(AND(AC440="Sold",AE440&lt;&gt;"",AF440&lt;&gt;""),AE440-AF440,"")</f>
        <v/>
      </c>
      <c r="AI440" s="18" t="str">
        <f aca="false">IF(AND(AC440="Sold",AF440&lt;&gt;"",X440&lt;&gt;""),AF440-N(AG440)-X440,"")</f>
        <v/>
      </c>
      <c r="AJ440" s="20" t="str">
        <f aca="false">IF(AND(AI440&lt;&gt;"",N(AE440)&gt;0),AI440/AE440,"")</f>
        <v/>
      </c>
      <c r="AK440" s="20" t="str">
        <f aca="false">IF(AND(AI440&lt;&gt;"",N(X440)&gt;0),AI440/X440,"")</f>
        <v/>
      </c>
      <c r="AL440" s="21" t="str">
        <f aca="false">IF(AND(AC440="Sold",AD440&lt;&gt;"",Z440&lt;&gt;""),AD440-Z440,"")</f>
        <v/>
      </c>
      <c r="AM440" s="20" t="str">
        <f aca="false">IF(AND(AC440="Sold",N(AA440)&gt;0,AE440&lt;&gt;""),1-AE440/AA440,"")</f>
        <v/>
      </c>
      <c r="AN440" s="21" t="str">
        <f aca="true">IF(AND(AC440&lt;&gt;"Sold",AC440&lt;&gt;"",Z440&lt;&gt;""),TODAY()-Z440,"")</f>
        <v/>
      </c>
      <c r="AO440" s="4"/>
      <c r="AP440" s="4"/>
    </row>
    <row r="441" customFormat="false" ht="1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14"/>
      <c r="O441" s="15"/>
      <c r="P441" s="16"/>
      <c r="Q441" s="4"/>
      <c r="R441" s="17"/>
      <c r="S441" s="18" t="str">
        <f aca="false">IF(OR(P441="",R441=""),"",P441*R441)</f>
        <v/>
      </c>
      <c r="T441" s="14"/>
      <c r="U441" s="14"/>
      <c r="V441" s="14"/>
      <c r="W441" s="14"/>
      <c r="X441" s="18" t="str">
        <f aca="false">IF(S441="","",S441+N(T441)+N(U441)+N(V441)+N(W441))</f>
        <v/>
      </c>
      <c r="Y441" s="4"/>
      <c r="Z441" s="15"/>
      <c r="AA441" s="14"/>
      <c r="AB441" s="19"/>
      <c r="AC441" s="4"/>
      <c r="AD441" s="15"/>
      <c r="AE441" s="14"/>
      <c r="AF441" s="14"/>
      <c r="AG441" s="14"/>
      <c r="AH441" s="18" t="str">
        <f aca="false">IF(AND(AC441="Sold",AE441&lt;&gt;"",AF441&lt;&gt;""),AE441-AF441,"")</f>
        <v/>
      </c>
      <c r="AI441" s="18" t="str">
        <f aca="false">IF(AND(AC441="Sold",AF441&lt;&gt;"",X441&lt;&gt;""),AF441-N(AG441)-X441,"")</f>
        <v/>
      </c>
      <c r="AJ441" s="20" t="str">
        <f aca="false">IF(AND(AI441&lt;&gt;"",N(AE441)&gt;0),AI441/AE441,"")</f>
        <v/>
      </c>
      <c r="AK441" s="20" t="str">
        <f aca="false">IF(AND(AI441&lt;&gt;"",N(X441)&gt;0),AI441/X441,"")</f>
        <v/>
      </c>
      <c r="AL441" s="21" t="str">
        <f aca="false">IF(AND(AC441="Sold",AD441&lt;&gt;"",Z441&lt;&gt;""),AD441-Z441,"")</f>
        <v/>
      </c>
      <c r="AM441" s="20" t="str">
        <f aca="false">IF(AND(AC441="Sold",N(AA441)&gt;0,AE441&lt;&gt;""),1-AE441/AA441,"")</f>
        <v/>
      </c>
      <c r="AN441" s="21" t="str">
        <f aca="true">IF(AND(AC441&lt;&gt;"Sold",AC441&lt;&gt;"",Z441&lt;&gt;""),TODAY()-Z441,"")</f>
        <v/>
      </c>
      <c r="AO441" s="4"/>
      <c r="AP441" s="4"/>
    </row>
    <row r="442" customFormat="false" ht="1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14"/>
      <c r="O442" s="15"/>
      <c r="P442" s="16"/>
      <c r="Q442" s="4"/>
      <c r="R442" s="17"/>
      <c r="S442" s="18" t="str">
        <f aca="false">IF(OR(P442="",R442=""),"",P442*R442)</f>
        <v/>
      </c>
      <c r="T442" s="14"/>
      <c r="U442" s="14"/>
      <c r="V442" s="14"/>
      <c r="W442" s="14"/>
      <c r="X442" s="18" t="str">
        <f aca="false">IF(S442="","",S442+N(T442)+N(U442)+N(V442)+N(W442))</f>
        <v/>
      </c>
      <c r="Y442" s="4"/>
      <c r="Z442" s="15"/>
      <c r="AA442" s="14"/>
      <c r="AB442" s="19"/>
      <c r="AC442" s="4"/>
      <c r="AD442" s="15"/>
      <c r="AE442" s="14"/>
      <c r="AF442" s="14"/>
      <c r="AG442" s="14"/>
      <c r="AH442" s="18" t="str">
        <f aca="false">IF(AND(AC442="Sold",AE442&lt;&gt;"",AF442&lt;&gt;""),AE442-AF442,"")</f>
        <v/>
      </c>
      <c r="AI442" s="18" t="str">
        <f aca="false">IF(AND(AC442="Sold",AF442&lt;&gt;"",X442&lt;&gt;""),AF442-N(AG442)-X442,"")</f>
        <v/>
      </c>
      <c r="AJ442" s="20" t="str">
        <f aca="false">IF(AND(AI442&lt;&gt;"",N(AE442)&gt;0),AI442/AE442,"")</f>
        <v/>
      </c>
      <c r="AK442" s="20" t="str">
        <f aca="false">IF(AND(AI442&lt;&gt;"",N(X442)&gt;0),AI442/X442,"")</f>
        <v/>
      </c>
      <c r="AL442" s="21" t="str">
        <f aca="false">IF(AND(AC442="Sold",AD442&lt;&gt;"",Z442&lt;&gt;""),AD442-Z442,"")</f>
        <v/>
      </c>
      <c r="AM442" s="20" t="str">
        <f aca="false">IF(AND(AC442="Sold",N(AA442)&gt;0,AE442&lt;&gt;""),1-AE442/AA442,"")</f>
        <v/>
      </c>
      <c r="AN442" s="21" t="str">
        <f aca="true">IF(AND(AC442&lt;&gt;"Sold",AC442&lt;&gt;"",Z442&lt;&gt;""),TODAY()-Z442,"")</f>
        <v/>
      </c>
      <c r="AO442" s="4"/>
      <c r="AP442" s="4"/>
    </row>
    <row r="443" customFormat="false" ht="1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14"/>
      <c r="O443" s="15"/>
      <c r="P443" s="16"/>
      <c r="Q443" s="4"/>
      <c r="R443" s="17"/>
      <c r="S443" s="18" t="str">
        <f aca="false">IF(OR(P443="",R443=""),"",P443*R443)</f>
        <v/>
      </c>
      <c r="T443" s="14"/>
      <c r="U443" s="14"/>
      <c r="V443" s="14"/>
      <c r="W443" s="14"/>
      <c r="X443" s="18" t="str">
        <f aca="false">IF(S443="","",S443+N(T443)+N(U443)+N(V443)+N(W443))</f>
        <v/>
      </c>
      <c r="Y443" s="4"/>
      <c r="Z443" s="15"/>
      <c r="AA443" s="14"/>
      <c r="AB443" s="19"/>
      <c r="AC443" s="4"/>
      <c r="AD443" s="15"/>
      <c r="AE443" s="14"/>
      <c r="AF443" s="14"/>
      <c r="AG443" s="14"/>
      <c r="AH443" s="18" t="str">
        <f aca="false">IF(AND(AC443="Sold",AE443&lt;&gt;"",AF443&lt;&gt;""),AE443-AF443,"")</f>
        <v/>
      </c>
      <c r="AI443" s="18" t="str">
        <f aca="false">IF(AND(AC443="Sold",AF443&lt;&gt;"",X443&lt;&gt;""),AF443-N(AG443)-X443,"")</f>
        <v/>
      </c>
      <c r="AJ443" s="20" t="str">
        <f aca="false">IF(AND(AI443&lt;&gt;"",N(AE443)&gt;0),AI443/AE443,"")</f>
        <v/>
      </c>
      <c r="AK443" s="20" t="str">
        <f aca="false">IF(AND(AI443&lt;&gt;"",N(X443)&gt;0),AI443/X443,"")</f>
        <v/>
      </c>
      <c r="AL443" s="21" t="str">
        <f aca="false">IF(AND(AC443="Sold",AD443&lt;&gt;"",Z443&lt;&gt;""),AD443-Z443,"")</f>
        <v/>
      </c>
      <c r="AM443" s="20" t="str">
        <f aca="false">IF(AND(AC443="Sold",N(AA443)&gt;0,AE443&lt;&gt;""),1-AE443/AA443,"")</f>
        <v/>
      </c>
      <c r="AN443" s="21" t="str">
        <f aca="true">IF(AND(AC443&lt;&gt;"Sold",AC443&lt;&gt;"",Z443&lt;&gt;""),TODAY()-Z443,"")</f>
        <v/>
      </c>
      <c r="AO443" s="4"/>
      <c r="AP443" s="4"/>
    </row>
    <row r="444" customFormat="false" ht="1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14"/>
      <c r="O444" s="15"/>
      <c r="P444" s="16"/>
      <c r="Q444" s="4"/>
      <c r="R444" s="17"/>
      <c r="S444" s="18" t="str">
        <f aca="false">IF(OR(P444="",R444=""),"",P444*R444)</f>
        <v/>
      </c>
      <c r="T444" s="14"/>
      <c r="U444" s="14"/>
      <c r="V444" s="14"/>
      <c r="W444" s="14"/>
      <c r="X444" s="18" t="str">
        <f aca="false">IF(S444="","",S444+N(T444)+N(U444)+N(V444)+N(W444))</f>
        <v/>
      </c>
      <c r="Y444" s="4"/>
      <c r="Z444" s="15"/>
      <c r="AA444" s="14"/>
      <c r="AB444" s="19"/>
      <c r="AC444" s="4"/>
      <c r="AD444" s="15"/>
      <c r="AE444" s="14"/>
      <c r="AF444" s="14"/>
      <c r="AG444" s="14"/>
      <c r="AH444" s="18" t="str">
        <f aca="false">IF(AND(AC444="Sold",AE444&lt;&gt;"",AF444&lt;&gt;""),AE444-AF444,"")</f>
        <v/>
      </c>
      <c r="AI444" s="18" t="str">
        <f aca="false">IF(AND(AC444="Sold",AF444&lt;&gt;"",X444&lt;&gt;""),AF444-N(AG444)-X444,"")</f>
        <v/>
      </c>
      <c r="AJ444" s="20" t="str">
        <f aca="false">IF(AND(AI444&lt;&gt;"",N(AE444)&gt;0),AI444/AE444,"")</f>
        <v/>
      </c>
      <c r="AK444" s="20" t="str">
        <f aca="false">IF(AND(AI444&lt;&gt;"",N(X444)&gt;0),AI444/X444,"")</f>
        <v/>
      </c>
      <c r="AL444" s="21" t="str">
        <f aca="false">IF(AND(AC444="Sold",AD444&lt;&gt;"",Z444&lt;&gt;""),AD444-Z444,"")</f>
        <v/>
      </c>
      <c r="AM444" s="20" t="str">
        <f aca="false">IF(AND(AC444="Sold",N(AA444)&gt;0,AE444&lt;&gt;""),1-AE444/AA444,"")</f>
        <v/>
      </c>
      <c r="AN444" s="21" t="str">
        <f aca="true">IF(AND(AC444&lt;&gt;"Sold",AC444&lt;&gt;"",Z444&lt;&gt;""),TODAY()-Z444,"")</f>
        <v/>
      </c>
      <c r="AO444" s="4"/>
      <c r="AP444" s="4"/>
    </row>
    <row r="445" customFormat="false" ht="1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14"/>
      <c r="O445" s="15"/>
      <c r="P445" s="16"/>
      <c r="Q445" s="4"/>
      <c r="R445" s="17"/>
      <c r="S445" s="18" t="str">
        <f aca="false">IF(OR(P445="",R445=""),"",P445*R445)</f>
        <v/>
      </c>
      <c r="T445" s="14"/>
      <c r="U445" s="14"/>
      <c r="V445" s="14"/>
      <c r="W445" s="14"/>
      <c r="X445" s="18" t="str">
        <f aca="false">IF(S445="","",S445+N(T445)+N(U445)+N(V445)+N(W445))</f>
        <v/>
      </c>
      <c r="Y445" s="4"/>
      <c r="Z445" s="15"/>
      <c r="AA445" s="14"/>
      <c r="AB445" s="19"/>
      <c r="AC445" s="4"/>
      <c r="AD445" s="15"/>
      <c r="AE445" s="14"/>
      <c r="AF445" s="14"/>
      <c r="AG445" s="14"/>
      <c r="AH445" s="18" t="str">
        <f aca="false">IF(AND(AC445="Sold",AE445&lt;&gt;"",AF445&lt;&gt;""),AE445-AF445,"")</f>
        <v/>
      </c>
      <c r="AI445" s="18" t="str">
        <f aca="false">IF(AND(AC445="Sold",AF445&lt;&gt;"",X445&lt;&gt;""),AF445-N(AG445)-X445,"")</f>
        <v/>
      </c>
      <c r="AJ445" s="20" t="str">
        <f aca="false">IF(AND(AI445&lt;&gt;"",N(AE445)&gt;0),AI445/AE445,"")</f>
        <v/>
      </c>
      <c r="AK445" s="20" t="str">
        <f aca="false">IF(AND(AI445&lt;&gt;"",N(X445)&gt;0),AI445/X445,"")</f>
        <v/>
      </c>
      <c r="AL445" s="21" t="str">
        <f aca="false">IF(AND(AC445="Sold",AD445&lt;&gt;"",Z445&lt;&gt;""),AD445-Z445,"")</f>
        <v/>
      </c>
      <c r="AM445" s="20" t="str">
        <f aca="false">IF(AND(AC445="Sold",N(AA445)&gt;0,AE445&lt;&gt;""),1-AE445/AA445,"")</f>
        <v/>
      </c>
      <c r="AN445" s="21" t="str">
        <f aca="true">IF(AND(AC445&lt;&gt;"Sold",AC445&lt;&gt;"",Z445&lt;&gt;""),TODAY()-Z445,"")</f>
        <v/>
      </c>
      <c r="AO445" s="4"/>
      <c r="AP445" s="4"/>
    </row>
    <row r="446" customFormat="false" ht="1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14"/>
      <c r="O446" s="15"/>
      <c r="P446" s="16"/>
      <c r="Q446" s="4"/>
      <c r="R446" s="17"/>
      <c r="S446" s="18" t="str">
        <f aca="false">IF(OR(P446="",R446=""),"",P446*R446)</f>
        <v/>
      </c>
      <c r="T446" s="14"/>
      <c r="U446" s="14"/>
      <c r="V446" s="14"/>
      <c r="W446" s="14"/>
      <c r="X446" s="18" t="str">
        <f aca="false">IF(S446="","",S446+N(T446)+N(U446)+N(V446)+N(W446))</f>
        <v/>
      </c>
      <c r="Y446" s="4"/>
      <c r="Z446" s="15"/>
      <c r="AA446" s="14"/>
      <c r="AB446" s="19"/>
      <c r="AC446" s="4"/>
      <c r="AD446" s="15"/>
      <c r="AE446" s="14"/>
      <c r="AF446" s="14"/>
      <c r="AG446" s="14"/>
      <c r="AH446" s="18" t="str">
        <f aca="false">IF(AND(AC446="Sold",AE446&lt;&gt;"",AF446&lt;&gt;""),AE446-AF446,"")</f>
        <v/>
      </c>
      <c r="AI446" s="18" t="str">
        <f aca="false">IF(AND(AC446="Sold",AF446&lt;&gt;"",X446&lt;&gt;""),AF446-N(AG446)-X446,"")</f>
        <v/>
      </c>
      <c r="AJ446" s="20" t="str">
        <f aca="false">IF(AND(AI446&lt;&gt;"",N(AE446)&gt;0),AI446/AE446,"")</f>
        <v/>
      </c>
      <c r="AK446" s="20" t="str">
        <f aca="false">IF(AND(AI446&lt;&gt;"",N(X446)&gt;0),AI446/X446,"")</f>
        <v/>
      </c>
      <c r="AL446" s="21" t="str">
        <f aca="false">IF(AND(AC446="Sold",AD446&lt;&gt;"",Z446&lt;&gt;""),AD446-Z446,"")</f>
        <v/>
      </c>
      <c r="AM446" s="20" t="str">
        <f aca="false">IF(AND(AC446="Sold",N(AA446)&gt;0,AE446&lt;&gt;""),1-AE446/AA446,"")</f>
        <v/>
      </c>
      <c r="AN446" s="21" t="str">
        <f aca="true">IF(AND(AC446&lt;&gt;"Sold",AC446&lt;&gt;"",Z446&lt;&gt;""),TODAY()-Z446,"")</f>
        <v/>
      </c>
      <c r="AO446" s="4"/>
      <c r="AP446" s="4"/>
    </row>
    <row r="447" customFormat="false" ht="1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14"/>
      <c r="O447" s="15"/>
      <c r="P447" s="16"/>
      <c r="Q447" s="4"/>
      <c r="R447" s="17"/>
      <c r="S447" s="18" t="str">
        <f aca="false">IF(OR(P447="",R447=""),"",P447*R447)</f>
        <v/>
      </c>
      <c r="T447" s="14"/>
      <c r="U447" s="14"/>
      <c r="V447" s="14"/>
      <c r="W447" s="14"/>
      <c r="X447" s="18" t="str">
        <f aca="false">IF(S447="","",S447+N(T447)+N(U447)+N(V447)+N(W447))</f>
        <v/>
      </c>
      <c r="Y447" s="4"/>
      <c r="Z447" s="15"/>
      <c r="AA447" s="14"/>
      <c r="AB447" s="19"/>
      <c r="AC447" s="4"/>
      <c r="AD447" s="15"/>
      <c r="AE447" s="14"/>
      <c r="AF447" s="14"/>
      <c r="AG447" s="14"/>
      <c r="AH447" s="18" t="str">
        <f aca="false">IF(AND(AC447="Sold",AE447&lt;&gt;"",AF447&lt;&gt;""),AE447-AF447,"")</f>
        <v/>
      </c>
      <c r="AI447" s="18" t="str">
        <f aca="false">IF(AND(AC447="Sold",AF447&lt;&gt;"",X447&lt;&gt;""),AF447-N(AG447)-X447,"")</f>
        <v/>
      </c>
      <c r="AJ447" s="20" t="str">
        <f aca="false">IF(AND(AI447&lt;&gt;"",N(AE447)&gt;0),AI447/AE447,"")</f>
        <v/>
      </c>
      <c r="AK447" s="20" t="str">
        <f aca="false">IF(AND(AI447&lt;&gt;"",N(X447)&gt;0),AI447/X447,"")</f>
        <v/>
      </c>
      <c r="AL447" s="21" t="str">
        <f aca="false">IF(AND(AC447="Sold",AD447&lt;&gt;"",Z447&lt;&gt;""),AD447-Z447,"")</f>
        <v/>
      </c>
      <c r="AM447" s="20" t="str">
        <f aca="false">IF(AND(AC447="Sold",N(AA447)&gt;0,AE447&lt;&gt;""),1-AE447/AA447,"")</f>
        <v/>
      </c>
      <c r="AN447" s="21" t="str">
        <f aca="true">IF(AND(AC447&lt;&gt;"Sold",AC447&lt;&gt;"",Z447&lt;&gt;""),TODAY()-Z447,"")</f>
        <v/>
      </c>
      <c r="AO447" s="4"/>
      <c r="AP447" s="4"/>
    </row>
    <row r="448" customFormat="false" ht="1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14"/>
      <c r="O448" s="15"/>
      <c r="P448" s="16"/>
      <c r="Q448" s="4"/>
      <c r="R448" s="17"/>
      <c r="S448" s="18" t="str">
        <f aca="false">IF(OR(P448="",R448=""),"",P448*R448)</f>
        <v/>
      </c>
      <c r="T448" s="14"/>
      <c r="U448" s="14"/>
      <c r="V448" s="14"/>
      <c r="W448" s="14"/>
      <c r="X448" s="18" t="str">
        <f aca="false">IF(S448="","",S448+N(T448)+N(U448)+N(V448)+N(W448))</f>
        <v/>
      </c>
      <c r="Y448" s="4"/>
      <c r="Z448" s="15"/>
      <c r="AA448" s="14"/>
      <c r="AB448" s="19"/>
      <c r="AC448" s="4"/>
      <c r="AD448" s="15"/>
      <c r="AE448" s="14"/>
      <c r="AF448" s="14"/>
      <c r="AG448" s="14"/>
      <c r="AH448" s="18" t="str">
        <f aca="false">IF(AND(AC448="Sold",AE448&lt;&gt;"",AF448&lt;&gt;""),AE448-AF448,"")</f>
        <v/>
      </c>
      <c r="AI448" s="18" t="str">
        <f aca="false">IF(AND(AC448="Sold",AF448&lt;&gt;"",X448&lt;&gt;""),AF448-N(AG448)-X448,"")</f>
        <v/>
      </c>
      <c r="AJ448" s="20" t="str">
        <f aca="false">IF(AND(AI448&lt;&gt;"",N(AE448)&gt;0),AI448/AE448,"")</f>
        <v/>
      </c>
      <c r="AK448" s="20" t="str">
        <f aca="false">IF(AND(AI448&lt;&gt;"",N(X448)&gt;0),AI448/X448,"")</f>
        <v/>
      </c>
      <c r="AL448" s="21" t="str">
        <f aca="false">IF(AND(AC448="Sold",AD448&lt;&gt;"",Z448&lt;&gt;""),AD448-Z448,"")</f>
        <v/>
      </c>
      <c r="AM448" s="20" t="str">
        <f aca="false">IF(AND(AC448="Sold",N(AA448)&gt;0,AE448&lt;&gt;""),1-AE448/AA448,"")</f>
        <v/>
      </c>
      <c r="AN448" s="21" t="str">
        <f aca="true">IF(AND(AC448&lt;&gt;"Sold",AC448&lt;&gt;"",Z448&lt;&gt;""),TODAY()-Z448,"")</f>
        <v/>
      </c>
      <c r="AO448" s="4"/>
      <c r="AP448" s="4"/>
    </row>
    <row r="449" customFormat="false" ht="1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14"/>
      <c r="O449" s="15"/>
      <c r="P449" s="16"/>
      <c r="Q449" s="4"/>
      <c r="R449" s="17"/>
      <c r="S449" s="18" t="str">
        <f aca="false">IF(OR(P449="",R449=""),"",P449*R449)</f>
        <v/>
      </c>
      <c r="T449" s="14"/>
      <c r="U449" s="14"/>
      <c r="V449" s="14"/>
      <c r="W449" s="14"/>
      <c r="X449" s="18" t="str">
        <f aca="false">IF(S449="","",S449+N(T449)+N(U449)+N(V449)+N(W449))</f>
        <v/>
      </c>
      <c r="Y449" s="4"/>
      <c r="Z449" s="15"/>
      <c r="AA449" s="14"/>
      <c r="AB449" s="19"/>
      <c r="AC449" s="4"/>
      <c r="AD449" s="15"/>
      <c r="AE449" s="14"/>
      <c r="AF449" s="14"/>
      <c r="AG449" s="14"/>
      <c r="AH449" s="18" t="str">
        <f aca="false">IF(AND(AC449="Sold",AE449&lt;&gt;"",AF449&lt;&gt;""),AE449-AF449,"")</f>
        <v/>
      </c>
      <c r="AI449" s="18" t="str">
        <f aca="false">IF(AND(AC449="Sold",AF449&lt;&gt;"",X449&lt;&gt;""),AF449-N(AG449)-X449,"")</f>
        <v/>
      </c>
      <c r="AJ449" s="20" t="str">
        <f aca="false">IF(AND(AI449&lt;&gt;"",N(AE449)&gt;0),AI449/AE449,"")</f>
        <v/>
      </c>
      <c r="AK449" s="20" t="str">
        <f aca="false">IF(AND(AI449&lt;&gt;"",N(X449)&gt;0),AI449/X449,"")</f>
        <v/>
      </c>
      <c r="AL449" s="21" t="str">
        <f aca="false">IF(AND(AC449="Sold",AD449&lt;&gt;"",Z449&lt;&gt;""),AD449-Z449,"")</f>
        <v/>
      </c>
      <c r="AM449" s="20" t="str">
        <f aca="false">IF(AND(AC449="Sold",N(AA449)&gt;0,AE449&lt;&gt;""),1-AE449/AA449,"")</f>
        <v/>
      </c>
      <c r="AN449" s="21" t="str">
        <f aca="true">IF(AND(AC449&lt;&gt;"Sold",AC449&lt;&gt;"",Z449&lt;&gt;""),TODAY()-Z449,"")</f>
        <v/>
      </c>
      <c r="AO449" s="4"/>
      <c r="AP449" s="4"/>
    </row>
    <row r="450" customFormat="false" ht="1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14"/>
      <c r="O450" s="15"/>
      <c r="P450" s="16"/>
      <c r="Q450" s="4"/>
      <c r="R450" s="17"/>
      <c r="S450" s="18" t="str">
        <f aca="false">IF(OR(P450="",R450=""),"",P450*R450)</f>
        <v/>
      </c>
      <c r="T450" s="14"/>
      <c r="U450" s="14"/>
      <c r="V450" s="14"/>
      <c r="W450" s="14"/>
      <c r="X450" s="18" t="str">
        <f aca="false">IF(S450="","",S450+N(T450)+N(U450)+N(V450)+N(W450))</f>
        <v/>
      </c>
      <c r="Y450" s="4"/>
      <c r="Z450" s="15"/>
      <c r="AA450" s="14"/>
      <c r="AB450" s="19"/>
      <c r="AC450" s="4"/>
      <c r="AD450" s="15"/>
      <c r="AE450" s="14"/>
      <c r="AF450" s="14"/>
      <c r="AG450" s="14"/>
      <c r="AH450" s="18" t="str">
        <f aca="false">IF(AND(AC450="Sold",AE450&lt;&gt;"",AF450&lt;&gt;""),AE450-AF450,"")</f>
        <v/>
      </c>
      <c r="AI450" s="18" t="str">
        <f aca="false">IF(AND(AC450="Sold",AF450&lt;&gt;"",X450&lt;&gt;""),AF450-N(AG450)-X450,"")</f>
        <v/>
      </c>
      <c r="AJ450" s="20" t="str">
        <f aca="false">IF(AND(AI450&lt;&gt;"",N(AE450)&gt;0),AI450/AE450,"")</f>
        <v/>
      </c>
      <c r="AK450" s="20" t="str">
        <f aca="false">IF(AND(AI450&lt;&gt;"",N(X450)&gt;0),AI450/X450,"")</f>
        <v/>
      </c>
      <c r="AL450" s="21" t="str">
        <f aca="false">IF(AND(AC450="Sold",AD450&lt;&gt;"",Z450&lt;&gt;""),AD450-Z450,"")</f>
        <v/>
      </c>
      <c r="AM450" s="20" t="str">
        <f aca="false">IF(AND(AC450="Sold",N(AA450)&gt;0,AE450&lt;&gt;""),1-AE450/AA450,"")</f>
        <v/>
      </c>
      <c r="AN450" s="21" t="str">
        <f aca="true">IF(AND(AC450&lt;&gt;"Sold",AC450&lt;&gt;"",Z450&lt;&gt;""),TODAY()-Z450,"")</f>
        <v/>
      </c>
      <c r="AO450" s="4"/>
      <c r="AP450" s="4"/>
    </row>
    <row r="451" customFormat="false" ht="1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14"/>
      <c r="O451" s="15"/>
      <c r="P451" s="16"/>
      <c r="Q451" s="4"/>
      <c r="R451" s="17"/>
      <c r="S451" s="18" t="str">
        <f aca="false">IF(OR(P451="",R451=""),"",P451*R451)</f>
        <v/>
      </c>
      <c r="T451" s="14"/>
      <c r="U451" s="14"/>
      <c r="V451" s="14"/>
      <c r="W451" s="14"/>
      <c r="X451" s="18" t="str">
        <f aca="false">IF(S451="","",S451+N(T451)+N(U451)+N(V451)+N(W451))</f>
        <v/>
      </c>
      <c r="Y451" s="4"/>
      <c r="Z451" s="15"/>
      <c r="AA451" s="14"/>
      <c r="AB451" s="19"/>
      <c r="AC451" s="4"/>
      <c r="AD451" s="15"/>
      <c r="AE451" s="14"/>
      <c r="AF451" s="14"/>
      <c r="AG451" s="14"/>
      <c r="AH451" s="18" t="str">
        <f aca="false">IF(AND(AC451="Sold",AE451&lt;&gt;"",AF451&lt;&gt;""),AE451-AF451,"")</f>
        <v/>
      </c>
      <c r="AI451" s="18" t="str">
        <f aca="false">IF(AND(AC451="Sold",AF451&lt;&gt;"",X451&lt;&gt;""),AF451-N(AG451)-X451,"")</f>
        <v/>
      </c>
      <c r="AJ451" s="20" t="str">
        <f aca="false">IF(AND(AI451&lt;&gt;"",N(AE451)&gt;0),AI451/AE451,"")</f>
        <v/>
      </c>
      <c r="AK451" s="20" t="str">
        <f aca="false">IF(AND(AI451&lt;&gt;"",N(X451)&gt;0),AI451/X451,"")</f>
        <v/>
      </c>
      <c r="AL451" s="21" t="str">
        <f aca="false">IF(AND(AC451="Sold",AD451&lt;&gt;"",Z451&lt;&gt;""),AD451-Z451,"")</f>
        <v/>
      </c>
      <c r="AM451" s="20" t="str">
        <f aca="false">IF(AND(AC451="Sold",N(AA451)&gt;0,AE451&lt;&gt;""),1-AE451/AA451,"")</f>
        <v/>
      </c>
      <c r="AN451" s="21" t="str">
        <f aca="true">IF(AND(AC451&lt;&gt;"Sold",AC451&lt;&gt;"",Z451&lt;&gt;""),TODAY()-Z451,"")</f>
        <v/>
      </c>
      <c r="AO451" s="4"/>
      <c r="AP451" s="4"/>
    </row>
    <row r="452" customFormat="false" ht="1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14"/>
      <c r="O452" s="15"/>
      <c r="P452" s="16"/>
      <c r="Q452" s="4"/>
      <c r="R452" s="17"/>
      <c r="S452" s="18" t="str">
        <f aca="false">IF(OR(P452="",R452=""),"",P452*R452)</f>
        <v/>
      </c>
      <c r="T452" s="14"/>
      <c r="U452" s="14"/>
      <c r="V452" s="14"/>
      <c r="W452" s="14"/>
      <c r="X452" s="18" t="str">
        <f aca="false">IF(S452="","",S452+N(T452)+N(U452)+N(V452)+N(W452))</f>
        <v/>
      </c>
      <c r="Y452" s="4"/>
      <c r="Z452" s="15"/>
      <c r="AA452" s="14"/>
      <c r="AB452" s="19"/>
      <c r="AC452" s="4"/>
      <c r="AD452" s="15"/>
      <c r="AE452" s="14"/>
      <c r="AF452" s="14"/>
      <c r="AG452" s="14"/>
      <c r="AH452" s="18" t="str">
        <f aca="false">IF(AND(AC452="Sold",AE452&lt;&gt;"",AF452&lt;&gt;""),AE452-AF452,"")</f>
        <v/>
      </c>
      <c r="AI452" s="18" t="str">
        <f aca="false">IF(AND(AC452="Sold",AF452&lt;&gt;"",X452&lt;&gt;""),AF452-N(AG452)-X452,"")</f>
        <v/>
      </c>
      <c r="AJ452" s="20" t="str">
        <f aca="false">IF(AND(AI452&lt;&gt;"",N(AE452)&gt;0),AI452/AE452,"")</f>
        <v/>
      </c>
      <c r="AK452" s="20" t="str">
        <f aca="false">IF(AND(AI452&lt;&gt;"",N(X452)&gt;0),AI452/X452,"")</f>
        <v/>
      </c>
      <c r="AL452" s="21" t="str">
        <f aca="false">IF(AND(AC452="Sold",AD452&lt;&gt;"",Z452&lt;&gt;""),AD452-Z452,"")</f>
        <v/>
      </c>
      <c r="AM452" s="20" t="str">
        <f aca="false">IF(AND(AC452="Sold",N(AA452)&gt;0,AE452&lt;&gt;""),1-AE452/AA452,"")</f>
        <v/>
      </c>
      <c r="AN452" s="21" t="str">
        <f aca="true">IF(AND(AC452&lt;&gt;"Sold",AC452&lt;&gt;"",Z452&lt;&gt;""),TODAY()-Z452,"")</f>
        <v/>
      </c>
      <c r="AO452" s="4"/>
      <c r="AP452" s="4"/>
    </row>
    <row r="453" customFormat="false" ht="1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14"/>
      <c r="O453" s="15"/>
      <c r="P453" s="16"/>
      <c r="Q453" s="4"/>
      <c r="R453" s="17"/>
      <c r="S453" s="18" t="str">
        <f aca="false">IF(OR(P453="",R453=""),"",P453*R453)</f>
        <v/>
      </c>
      <c r="T453" s="14"/>
      <c r="U453" s="14"/>
      <c r="V453" s="14"/>
      <c r="W453" s="14"/>
      <c r="X453" s="18" t="str">
        <f aca="false">IF(S453="","",S453+N(T453)+N(U453)+N(V453)+N(W453))</f>
        <v/>
      </c>
      <c r="Y453" s="4"/>
      <c r="Z453" s="15"/>
      <c r="AA453" s="14"/>
      <c r="AB453" s="19"/>
      <c r="AC453" s="4"/>
      <c r="AD453" s="15"/>
      <c r="AE453" s="14"/>
      <c r="AF453" s="14"/>
      <c r="AG453" s="14"/>
      <c r="AH453" s="18" t="str">
        <f aca="false">IF(AND(AC453="Sold",AE453&lt;&gt;"",AF453&lt;&gt;""),AE453-AF453,"")</f>
        <v/>
      </c>
      <c r="AI453" s="18" t="str">
        <f aca="false">IF(AND(AC453="Sold",AF453&lt;&gt;"",X453&lt;&gt;""),AF453-N(AG453)-X453,"")</f>
        <v/>
      </c>
      <c r="AJ453" s="20" t="str">
        <f aca="false">IF(AND(AI453&lt;&gt;"",N(AE453)&gt;0),AI453/AE453,"")</f>
        <v/>
      </c>
      <c r="AK453" s="20" t="str">
        <f aca="false">IF(AND(AI453&lt;&gt;"",N(X453)&gt;0),AI453/X453,"")</f>
        <v/>
      </c>
      <c r="AL453" s="21" t="str">
        <f aca="false">IF(AND(AC453="Sold",AD453&lt;&gt;"",Z453&lt;&gt;""),AD453-Z453,"")</f>
        <v/>
      </c>
      <c r="AM453" s="20" t="str">
        <f aca="false">IF(AND(AC453="Sold",N(AA453)&gt;0,AE453&lt;&gt;""),1-AE453/AA453,"")</f>
        <v/>
      </c>
      <c r="AN453" s="21" t="str">
        <f aca="true">IF(AND(AC453&lt;&gt;"Sold",AC453&lt;&gt;"",Z453&lt;&gt;""),TODAY()-Z453,"")</f>
        <v/>
      </c>
      <c r="AO453" s="4"/>
      <c r="AP453" s="4"/>
    </row>
    <row r="454" customFormat="false" ht="1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14"/>
      <c r="O454" s="15"/>
      <c r="P454" s="16"/>
      <c r="Q454" s="4"/>
      <c r="R454" s="17"/>
      <c r="S454" s="18" t="str">
        <f aca="false">IF(OR(P454="",R454=""),"",P454*R454)</f>
        <v/>
      </c>
      <c r="T454" s="14"/>
      <c r="U454" s="14"/>
      <c r="V454" s="14"/>
      <c r="W454" s="14"/>
      <c r="X454" s="18" t="str">
        <f aca="false">IF(S454="","",S454+N(T454)+N(U454)+N(V454)+N(W454))</f>
        <v/>
      </c>
      <c r="Y454" s="4"/>
      <c r="Z454" s="15"/>
      <c r="AA454" s="14"/>
      <c r="AB454" s="19"/>
      <c r="AC454" s="4"/>
      <c r="AD454" s="15"/>
      <c r="AE454" s="14"/>
      <c r="AF454" s="14"/>
      <c r="AG454" s="14"/>
      <c r="AH454" s="18" t="str">
        <f aca="false">IF(AND(AC454="Sold",AE454&lt;&gt;"",AF454&lt;&gt;""),AE454-AF454,"")</f>
        <v/>
      </c>
      <c r="AI454" s="18" t="str">
        <f aca="false">IF(AND(AC454="Sold",AF454&lt;&gt;"",X454&lt;&gt;""),AF454-N(AG454)-X454,"")</f>
        <v/>
      </c>
      <c r="AJ454" s="20" t="str">
        <f aca="false">IF(AND(AI454&lt;&gt;"",N(AE454)&gt;0),AI454/AE454,"")</f>
        <v/>
      </c>
      <c r="AK454" s="20" t="str">
        <f aca="false">IF(AND(AI454&lt;&gt;"",N(X454)&gt;0),AI454/X454,"")</f>
        <v/>
      </c>
      <c r="AL454" s="21" t="str">
        <f aca="false">IF(AND(AC454="Sold",AD454&lt;&gt;"",Z454&lt;&gt;""),AD454-Z454,"")</f>
        <v/>
      </c>
      <c r="AM454" s="20" t="str">
        <f aca="false">IF(AND(AC454="Sold",N(AA454)&gt;0,AE454&lt;&gt;""),1-AE454/AA454,"")</f>
        <v/>
      </c>
      <c r="AN454" s="21" t="str">
        <f aca="true">IF(AND(AC454&lt;&gt;"Sold",AC454&lt;&gt;"",Z454&lt;&gt;""),TODAY()-Z454,"")</f>
        <v/>
      </c>
      <c r="AO454" s="4"/>
      <c r="AP454" s="4"/>
    </row>
    <row r="455" customFormat="false" ht="1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14"/>
      <c r="O455" s="15"/>
      <c r="P455" s="16"/>
      <c r="Q455" s="4"/>
      <c r="R455" s="17"/>
      <c r="S455" s="18" t="str">
        <f aca="false">IF(OR(P455="",R455=""),"",P455*R455)</f>
        <v/>
      </c>
      <c r="T455" s="14"/>
      <c r="U455" s="14"/>
      <c r="V455" s="14"/>
      <c r="W455" s="14"/>
      <c r="X455" s="18" t="str">
        <f aca="false">IF(S455="","",S455+N(T455)+N(U455)+N(V455)+N(W455))</f>
        <v/>
      </c>
      <c r="Y455" s="4"/>
      <c r="Z455" s="15"/>
      <c r="AA455" s="14"/>
      <c r="AB455" s="19"/>
      <c r="AC455" s="4"/>
      <c r="AD455" s="15"/>
      <c r="AE455" s="14"/>
      <c r="AF455" s="14"/>
      <c r="AG455" s="14"/>
      <c r="AH455" s="18" t="str">
        <f aca="false">IF(AND(AC455="Sold",AE455&lt;&gt;"",AF455&lt;&gt;""),AE455-AF455,"")</f>
        <v/>
      </c>
      <c r="AI455" s="18" t="str">
        <f aca="false">IF(AND(AC455="Sold",AF455&lt;&gt;"",X455&lt;&gt;""),AF455-N(AG455)-X455,"")</f>
        <v/>
      </c>
      <c r="AJ455" s="20" t="str">
        <f aca="false">IF(AND(AI455&lt;&gt;"",N(AE455)&gt;0),AI455/AE455,"")</f>
        <v/>
      </c>
      <c r="AK455" s="20" t="str">
        <f aca="false">IF(AND(AI455&lt;&gt;"",N(X455)&gt;0),AI455/X455,"")</f>
        <v/>
      </c>
      <c r="AL455" s="21" t="str">
        <f aca="false">IF(AND(AC455="Sold",AD455&lt;&gt;"",Z455&lt;&gt;""),AD455-Z455,"")</f>
        <v/>
      </c>
      <c r="AM455" s="20" t="str">
        <f aca="false">IF(AND(AC455="Sold",N(AA455)&gt;0,AE455&lt;&gt;""),1-AE455/AA455,"")</f>
        <v/>
      </c>
      <c r="AN455" s="21" t="str">
        <f aca="true">IF(AND(AC455&lt;&gt;"Sold",AC455&lt;&gt;"",Z455&lt;&gt;""),TODAY()-Z455,"")</f>
        <v/>
      </c>
      <c r="AO455" s="4"/>
      <c r="AP455" s="4"/>
    </row>
    <row r="456" customFormat="false" ht="1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14"/>
      <c r="O456" s="15"/>
      <c r="P456" s="16"/>
      <c r="Q456" s="4"/>
      <c r="R456" s="17"/>
      <c r="S456" s="18" t="str">
        <f aca="false">IF(OR(P456="",R456=""),"",P456*R456)</f>
        <v/>
      </c>
      <c r="T456" s="14"/>
      <c r="U456" s="14"/>
      <c r="V456" s="14"/>
      <c r="W456" s="14"/>
      <c r="X456" s="18" t="str">
        <f aca="false">IF(S456="","",S456+N(T456)+N(U456)+N(V456)+N(W456))</f>
        <v/>
      </c>
      <c r="Y456" s="4"/>
      <c r="Z456" s="15"/>
      <c r="AA456" s="14"/>
      <c r="AB456" s="19"/>
      <c r="AC456" s="4"/>
      <c r="AD456" s="15"/>
      <c r="AE456" s="14"/>
      <c r="AF456" s="14"/>
      <c r="AG456" s="14"/>
      <c r="AH456" s="18" t="str">
        <f aca="false">IF(AND(AC456="Sold",AE456&lt;&gt;"",AF456&lt;&gt;""),AE456-AF456,"")</f>
        <v/>
      </c>
      <c r="AI456" s="18" t="str">
        <f aca="false">IF(AND(AC456="Sold",AF456&lt;&gt;"",X456&lt;&gt;""),AF456-N(AG456)-X456,"")</f>
        <v/>
      </c>
      <c r="AJ456" s="20" t="str">
        <f aca="false">IF(AND(AI456&lt;&gt;"",N(AE456)&gt;0),AI456/AE456,"")</f>
        <v/>
      </c>
      <c r="AK456" s="20" t="str">
        <f aca="false">IF(AND(AI456&lt;&gt;"",N(X456)&gt;0),AI456/X456,"")</f>
        <v/>
      </c>
      <c r="AL456" s="21" t="str">
        <f aca="false">IF(AND(AC456="Sold",AD456&lt;&gt;"",Z456&lt;&gt;""),AD456-Z456,"")</f>
        <v/>
      </c>
      <c r="AM456" s="20" t="str">
        <f aca="false">IF(AND(AC456="Sold",N(AA456)&gt;0,AE456&lt;&gt;""),1-AE456/AA456,"")</f>
        <v/>
      </c>
      <c r="AN456" s="21" t="str">
        <f aca="true">IF(AND(AC456&lt;&gt;"Sold",AC456&lt;&gt;"",Z456&lt;&gt;""),TODAY()-Z456,"")</f>
        <v/>
      </c>
      <c r="AO456" s="4"/>
      <c r="AP456" s="4"/>
    </row>
    <row r="457" customFormat="false" ht="1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14"/>
      <c r="O457" s="15"/>
      <c r="P457" s="16"/>
      <c r="Q457" s="4"/>
      <c r="R457" s="17"/>
      <c r="S457" s="18" t="str">
        <f aca="false">IF(OR(P457="",R457=""),"",P457*R457)</f>
        <v/>
      </c>
      <c r="T457" s="14"/>
      <c r="U457" s="14"/>
      <c r="V457" s="14"/>
      <c r="W457" s="14"/>
      <c r="X457" s="18" t="str">
        <f aca="false">IF(S457="","",S457+N(T457)+N(U457)+N(V457)+N(W457))</f>
        <v/>
      </c>
      <c r="Y457" s="4"/>
      <c r="Z457" s="15"/>
      <c r="AA457" s="14"/>
      <c r="AB457" s="19"/>
      <c r="AC457" s="4"/>
      <c r="AD457" s="15"/>
      <c r="AE457" s="14"/>
      <c r="AF457" s="14"/>
      <c r="AG457" s="14"/>
      <c r="AH457" s="18" t="str">
        <f aca="false">IF(AND(AC457="Sold",AE457&lt;&gt;"",AF457&lt;&gt;""),AE457-AF457,"")</f>
        <v/>
      </c>
      <c r="AI457" s="18" t="str">
        <f aca="false">IF(AND(AC457="Sold",AF457&lt;&gt;"",X457&lt;&gt;""),AF457-N(AG457)-X457,"")</f>
        <v/>
      </c>
      <c r="AJ457" s="20" t="str">
        <f aca="false">IF(AND(AI457&lt;&gt;"",N(AE457)&gt;0),AI457/AE457,"")</f>
        <v/>
      </c>
      <c r="AK457" s="20" t="str">
        <f aca="false">IF(AND(AI457&lt;&gt;"",N(X457)&gt;0),AI457/X457,"")</f>
        <v/>
      </c>
      <c r="AL457" s="21" t="str">
        <f aca="false">IF(AND(AC457="Sold",AD457&lt;&gt;"",Z457&lt;&gt;""),AD457-Z457,"")</f>
        <v/>
      </c>
      <c r="AM457" s="20" t="str">
        <f aca="false">IF(AND(AC457="Sold",N(AA457)&gt;0,AE457&lt;&gt;""),1-AE457/AA457,"")</f>
        <v/>
      </c>
      <c r="AN457" s="21" t="str">
        <f aca="true">IF(AND(AC457&lt;&gt;"Sold",AC457&lt;&gt;"",Z457&lt;&gt;""),TODAY()-Z457,"")</f>
        <v/>
      </c>
      <c r="AO457" s="4"/>
      <c r="AP457" s="4"/>
    </row>
    <row r="458" customFormat="false" ht="1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14"/>
      <c r="O458" s="15"/>
      <c r="P458" s="16"/>
      <c r="Q458" s="4"/>
      <c r="R458" s="17"/>
      <c r="S458" s="18" t="str">
        <f aca="false">IF(OR(P458="",R458=""),"",P458*R458)</f>
        <v/>
      </c>
      <c r="T458" s="14"/>
      <c r="U458" s="14"/>
      <c r="V458" s="14"/>
      <c r="W458" s="14"/>
      <c r="X458" s="18" t="str">
        <f aca="false">IF(S458="","",S458+N(T458)+N(U458)+N(V458)+N(W458))</f>
        <v/>
      </c>
      <c r="Y458" s="4"/>
      <c r="Z458" s="15"/>
      <c r="AA458" s="14"/>
      <c r="AB458" s="19"/>
      <c r="AC458" s="4"/>
      <c r="AD458" s="15"/>
      <c r="AE458" s="14"/>
      <c r="AF458" s="14"/>
      <c r="AG458" s="14"/>
      <c r="AH458" s="18" t="str">
        <f aca="false">IF(AND(AC458="Sold",AE458&lt;&gt;"",AF458&lt;&gt;""),AE458-AF458,"")</f>
        <v/>
      </c>
      <c r="AI458" s="18" t="str">
        <f aca="false">IF(AND(AC458="Sold",AF458&lt;&gt;"",X458&lt;&gt;""),AF458-N(AG458)-X458,"")</f>
        <v/>
      </c>
      <c r="AJ458" s="20" t="str">
        <f aca="false">IF(AND(AI458&lt;&gt;"",N(AE458)&gt;0),AI458/AE458,"")</f>
        <v/>
      </c>
      <c r="AK458" s="20" t="str">
        <f aca="false">IF(AND(AI458&lt;&gt;"",N(X458)&gt;0),AI458/X458,"")</f>
        <v/>
      </c>
      <c r="AL458" s="21" t="str">
        <f aca="false">IF(AND(AC458="Sold",AD458&lt;&gt;"",Z458&lt;&gt;""),AD458-Z458,"")</f>
        <v/>
      </c>
      <c r="AM458" s="20" t="str">
        <f aca="false">IF(AND(AC458="Sold",N(AA458)&gt;0,AE458&lt;&gt;""),1-AE458/AA458,"")</f>
        <v/>
      </c>
      <c r="AN458" s="21" t="str">
        <f aca="true">IF(AND(AC458&lt;&gt;"Sold",AC458&lt;&gt;"",Z458&lt;&gt;""),TODAY()-Z458,"")</f>
        <v/>
      </c>
      <c r="AO458" s="4"/>
      <c r="AP458" s="4"/>
    </row>
    <row r="459" customFormat="false" ht="1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14"/>
      <c r="O459" s="15"/>
      <c r="P459" s="16"/>
      <c r="Q459" s="4"/>
      <c r="R459" s="17"/>
      <c r="S459" s="18" t="str">
        <f aca="false">IF(OR(P459="",R459=""),"",P459*R459)</f>
        <v/>
      </c>
      <c r="T459" s="14"/>
      <c r="U459" s="14"/>
      <c r="V459" s="14"/>
      <c r="W459" s="14"/>
      <c r="X459" s="18" t="str">
        <f aca="false">IF(S459="","",S459+N(T459)+N(U459)+N(V459)+N(W459))</f>
        <v/>
      </c>
      <c r="Y459" s="4"/>
      <c r="Z459" s="15"/>
      <c r="AA459" s="14"/>
      <c r="AB459" s="19"/>
      <c r="AC459" s="4"/>
      <c r="AD459" s="15"/>
      <c r="AE459" s="14"/>
      <c r="AF459" s="14"/>
      <c r="AG459" s="14"/>
      <c r="AH459" s="18" t="str">
        <f aca="false">IF(AND(AC459="Sold",AE459&lt;&gt;"",AF459&lt;&gt;""),AE459-AF459,"")</f>
        <v/>
      </c>
      <c r="AI459" s="18" t="str">
        <f aca="false">IF(AND(AC459="Sold",AF459&lt;&gt;"",X459&lt;&gt;""),AF459-N(AG459)-X459,"")</f>
        <v/>
      </c>
      <c r="AJ459" s="20" t="str">
        <f aca="false">IF(AND(AI459&lt;&gt;"",N(AE459)&gt;0),AI459/AE459,"")</f>
        <v/>
      </c>
      <c r="AK459" s="20" t="str">
        <f aca="false">IF(AND(AI459&lt;&gt;"",N(X459)&gt;0),AI459/X459,"")</f>
        <v/>
      </c>
      <c r="AL459" s="21" t="str">
        <f aca="false">IF(AND(AC459="Sold",AD459&lt;&gt;"",Z459&lt;&gt;""),AD459-Z459,"")</f>
        <v/>
      </c>
      <c r="AM459" s="20" t="str">
        <f aca="false">IF(AND(AC459="Sold",N(AA459)&gt;0,AE459&lt;&gt;""),1-AE459/AA459,"")</f>
        <v/>
      </c>
      <c r="AN459" s="21" t="str">
        <f aca="true">IF(AND(AC459&lt;&gt;"Sold",AC459&lt;&gt;"",Z459&lt;&gt;""),TODAY()-Z459,"")</f>
        <v/>
      </c>
      <c r="AO459" s="4"/>
      <c r="AP459" s="4"/>
    </row>
    <row r="460" customFormat="false" ht="1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14"/>
      <c r="O460" s="15"/>
      <c r="P460" s="16"/>
      <c r="Q460" s="4"/>
      <c r="R460" s="17"/>
      <c r="S460" s="18" t="str">
        <f aca="false">IF(OR(P460="",R460=""),"",P460*R460)</f>
        <v/>
      </c>
      <c r="T460" s="14"/>
      <c r="U460" s="14"/>
      <c r="V460" s="14"/>
      <c r="W460" s="14"/>
      <c r="X460" s="18" t="str">
        <f aca="false">IF(S460="","",S460+N(T460)+N(U460)+N(V460)+N(W460))</f>
        <v/>
      </c>
      <c r="Y460" s="4"/>
      <c r="Z460" s="15"/>
      <c r="AA460" s="14"/>
      <c r="AB460" s="19"/>
      <c r="AC460" s="4"/>
      <c r="AD460" s="15"/>
      <c r="AE460" s="14"/>
      <c r="AF460" s="14"/>
      <c r="AG460" s="14"/>
      <c r="AH460" s="18" t="str">
        <f aca="false">IF(AND(AC460="Sold",AE460&lt;&gt;"",AF460&lt;&gt;""),AE460-AF460,"")</f>
        <v/>
      </c>
      <c r="AI460" s="18" t="str">
        <f aca="false">IF(AND(AC460="Sold",AF460&lt;&gt;"",X460&lt;&gt;""),AF460-N(AG460)-X460,"")</f>
        <v/>
      </c>
      <c r="AJ460" s="20" t="str">
        <f aca="false">IF(AND(AI460&lt;&gt;"",N(AE460)&gt;0),AI460/AE460,"")</f>
        <v/>
      </c>
      <c r="AK460" s="20" t="str">
        <f aca="false">IF(AND(AI460&lt;&gt;"",N(X460)&gt;0),AI460/X460,"")</f>
        <v/>
      </c>
      <c r="AL460" s="21" t="str">
        <f aca="false">IF(AND(AC460="Sold",AD460&lt;&gt;"",Z460&lt;&gt;""),AD460-Z460,"")</f>
        <v/>
      </c>
      <c r="AM460" s="20" t="str">
        <f aca="false">IF(AND(AC460="Sold",N(AA460)&gt;0,AE460&lt;&gt;""),1-AE460/AA460,"")</f>
        <v/>
      </c>
      <c r="AN460" s="21" t="str">
        <f aca="true">IF(AND(AC460&lt;&gt;"Sold",AC460&lt;&gt;"",Z460&lt;&gt;""),TODAY()-Z460,"")</f>
        <v/>
      </c>
      <c r="AO460" s="4"/>
      <c r="AP460" s="4"/>
    </row>
    <row r="461" customFormat="false" ht="1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14"/>
      <c r="O461" s="15"/>
      <c r="P461" s="16"/>
      <c r="Q461" s="4"/>
      <c r="R461" s="17"/>
      <c r="S461" s="18" t="str">
        <f aca="false">IF(OR(P461="",R461=""),"",P461*R461)</f>
        <v/>
      </c>
      <c r="T461" s="14"/>
      <c r="U461" s="14"/>
      <c r="V461" s="14"/>
      <c r="W461" s="14"/>
      <c r="X461" s="18" t="str">
        <f aca="false">IF(S461="","",S461+N(T461)+N(U461)+N(V461)+N(W461))</f>
        <v/>
      </c>
      <c r="Y461" s="4"/>
      <c r="Z461" s="15"/>
      <c r="AA461" s="14"/>
      <c r="AB461" s="19"/>
      <c r="AC461" s="4"/>
      <c r="AD461" s="15"/>
      <c r="AE461" s="14"/>
      <c r="AF461" s="14"/>
      <c r="AG461" s="14"/>
      <c r="AH461" s="18" t="str">
        <f aca="false">IF(AND(AC461="Sold",AE461&lt;&gt;"",AF461&lt;&gt;""),AE461-AF461,"")</f>
        <v/>
      </c>
      <c r="AI461" s="18" t="str">
        <f aca="false">IF(AND(AC461="Sold",AF461&lt;&gt;"",X461&lt;&gt;""),AF461-N(AG461)-X461,"")</f>
        <v/>
      </c>
      <c r="AJ461" s="20" t="str">
        <f aca="false">IF(AND(AI461&lt;&gt;"",N(AE461)&gt;0),AI461/AE461,"")</f>
        <v/>
      </c>
      <c r="AK461" s="20" t="str">
        <f aca="false">IF(AND(AI461&lt;&gt;"",N(X461)&gt;0),AI461/X461,"")</f>
        <v/>
      </c>
      <c r="AL461" s="21" t="str">
        <f aca="false">IF(AND(AC461="Sold",AD461&lt;&gt;"",Z461&lt;&gt;""),AD461-Z461,"")</f>
        <v/>
      </c>
      <c r="AM461" s="20" t="str">
        <f aca="false">IF(AND(AC461="Sold",N(AA461)&gt;0,AE461&lt;&gt;""),1-AE461/AA461,"")</f>
        <v/>
      </c>
      <c r="AN461" s="21" t="str">
        <f aca="true">IF(AND(AC461&lt;&gt;"Sold",AC461&lt;&gt;"",Z461&lt;&gt;""),TODAY()-Z461,"")</f>
        <v/>
      </c>
      <c r="AO461" s="4"/>
      <c r="AP461" s="4"/>
    </row>
    <row r="462" customFormat="false" ht="1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14"/>
      <c r="O462" s="15"/>
      <c r="P462" s="16"/>
      <c r="Q462" s="4"/>
      <c r="R462" s="17"/>
      <c r="S462" s="18" t="str">
        <f aca="false">IF(OR(P462="",R462=""),"",P462*R462)</f>
        <v/>
      </c>
      <c r="T462" s="14"/>
      <c r="U462" s="14"/>
      <c r="V462" s="14"/>
      <c r="W462" s="14"/>
      <c r="X462" s="18" t="str">
        <f aca="false">IF(S462="","",S462+N(T462)+N(U462)+N(V462)+N(W462))</f>
        <v/>
      </c>
      <c r="Y462" s="4"/>
      <c r="Z462" s="15"/>
      <c r="AA462" s="14"/>
      <c r="AB462" s="19"/>
      <c r="AC462" s="4"/>
      <c r="AD462" s="15"/>
      <c r="AE462" s="14"/>
      <c r="AF462" s="14"/>
      <c r="AG462" s="14"/>
      <c r="AH462" s="18" t="str">
        <f aca="false">IF(AND(AC462="Sold",AE462&lt;&gt;"",AF462&lt;&gt;""),AE462-AF462,"")</f>
        <v/>
      </c>
      <c r="AI462" s="18" t="str">
        <f aca="false">IF(AND(AC462="Sold",AF462&lt;&gt;"",X462&lt;&gt;""),AF462-N(AG462)-X462,"")</f>
        <v/>
      </c>
      <c r="AJ462" s="20" t="str">
        <f aca="false">IF(AND(AI462&lt;&gt;"",N(AE462)&gt;0),AI462/AE462,"")</f>
        <v/>
      </c>
      <c r="AK462" s="20" t="str">
        <f aca="false">IF(AND(AI462&lt;&gt;"",N(X462)&gt;0),AI462/X462,"")</f>
        <v/>
      </c>
      <c r="AL462" s="21" t="str">
        <f aca="false">IF(AND(AC462="Sold",AD462&lt;&gt;"",Z462&lt;&gt;""),AD462-Z462,"")</f>
        <v/>
      </c>
      <c r="AM462" s="20" t="str">
        <f aca="false">IF(AND(AC462="Sold",N(AA462)&gt;0,AE462&lt;&gt;""),1-AE462/AA462,"")</f>
        <v/>
      </c>
      <c r="AN462" s="21" t="str">
        <f aca="true">IF(AND(AC462&lt;&gt;"Sold",AC462&lt;&gt;"",Z462&lt;&gt;""),TODAY()-Z462,"")</f>
        <v/>
      </c>
      <c r="AO462" s="4"/>
      <c r="AP462" s="4"/>
    </row>
    <row r="463" customFormat="false" ht="1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14"/>
      <c r="O463" s="15"/>
      <c r="P463" s="16"/>
      <c r="Q463" s="4"/>
      <c r="R463" s="17"/>
      <c r="S463" s="18" t="str">
        <f aca="false">IF(OR(P463="",R463=""),"",P463*R463)</f>
        <v/>
      </c>
      <c r="T463" s="14"/>
      <c r="U463" s="14"/>
      <c r="V463" s="14"/>
      <c r="W463" s="14"/>
      <c r="X463" s="18" t="str">
        <f aca="false">IF(S463="","",S463+N(T463)+N(U463)+N(V463)+N(W463))</f>
        <v/>
      </c>
      <c r="Y463" s="4"/>
      <c r="Z463" s="15"/>
      <c r="AA463" s="14"/>
      <c r="AB463" s="19"/>
      <c r="AC463" s="4"/>
      <c r="AD463" s="15"/>
      <c r="AE463" s="14"/>
      <c r="AF463" s="14"/>
      <c r="AG463" s="14"/>
      <c r="AH463" s="18" t="str">
        <f aca="false">IF(AND(AC463="Sold",AE463&lt;&gt;"",AF463&lt;&gt;""),AE463-AF463,"")</f>
        <v/>
      </c>
      <c r="AI463" s="18" t="str">
        <f aca="false">IF(AND(AC463="Sold",AF463&lt;&gt;"",X463&lt;&gt;""),AF463-N(AG463)-X463,"")</f>
        <v/>
      </c>
      <c r="AJ463" s="20" t="str">
        <f aca="false">IF(AND(AI463&lt;&gt;"",N(AE463)&gt;0),AI463/AE463,"")</f>
        <v/>
      </c>
      <c r="AK463" s="20" t="str">
        <f aca="false">IF(AND(AI463&lt;&gt;"",N(X463)&gt;0),AI463/X463,"")</f>
        <v/>
      </c>
      <c r="AL463" s="21" t="str">
        <f aca="false">IF(AND(AC463="Sold",AD463&lt;&gt;"",Z463&lt;&gt;""),AD463-Z463,"")</f>
        <v/>
      </c>
      <c r="AM463" s="20" t="str">
        <f aca="false">IF(AND(AC463="Sold",N(AA463)&gt;0,AE463&lt;&gt;""),1-AE463/AA463,"")</f>
        <v/>
      </c>
      <c r="AN463" s="21" t="str">
        <f aca="true">IF(AND(AC463&lt;&gt;"Sold",AC463&lt;&gt;"",Z463&lt;&gt;""),TODAY()-Z463,"")</f>
        <v/>
      </c>
      <c r="AO463" s="4"/>
      <c r="AP463" s="4"/>
    </row>
    <row r="464" customFormat="false" ht="1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14"/>
      <c r="O464" s="15"/>
      <c r="P464" s="16"/>
      <c r="Q464" s="4"/>
      <c r="R464" s="17"/>
      <c r="S464" s="18" t="str">
        <f aca="false">IF(OR(P464="",R464=""),"",P464*R464)</f>
        <v/>
      </c>
      <c r="T464" s="14"/>
      <c r="U464" s="14"/>
      <c r="V464" s="14"/>
      <c r="W464" s="14"/>
      <c r="X464" s="18" t="str">
        <f aca="false">IF(S464="","",S464+N(T464)+N(U464)+N(V464)+N(W464))</f>
        <v/>
      </c>
      <c r="Y464" s="4"/>
      <c r="Z464" s="15"/>
      <c r="AA464" s="14"/>
      <c r="AB464" s="19"/>
      <c r="AC464" s="4"/>
      <c r="AD464" s="15"/>
      <c r="AE464" s="14"/>
      <c r="AF464" s="14"/>
      <c r="AG464" s="14"/>
      <c r="AH464" s="18" t="str">
        <f aca="false">IF(AND(AC464="Sold",AE464&lt;&gt;"",AF464&lt;&gt;""),AE464-AF464,"")</f>
        <v/>
      </c>
      <c r="AI464" s="18" t="str">
        <f aca="false">IF(AND(AC464="Sold",AF464&lt;&gt;"",X464&lt;&gt;""),AF464-N(AG464)-X464,"")</f>
        <v/>
      </c>
      <c r="AJ464" s="20" t="str">
        <f aca="false">IF(AND(AI464&lt;&gt;"",N(AE464)&gt;0),AI464/AE464,"")</f>
        <v/>
      </c>
      <c r="AK464" s="20" t="str">
        <f aca="false">IF(AND(AI464&lt;&gt;"",N(X464)&gt;0),AI464/X464,"")</f>
        <v/>
      </c>
      <c r="AL464" s="21" t="str">
        <f aca="false">IF(AND(AC464="Sold",AD464&lt;&gt;"",Z464&lt;&gt;""),AD464-Z464,"")</f>
        <v/>
      </c>
      <c r="AM464" s="20" t="str">
        <f aca="false">IF(AND(AC464="Sold",N(AA464)&gt;0,AE464&lt;&gt;""),1-AE464/AA464,"")</f>
        <v/>
      </c>
      <c r="AN464" s="21" t="str">
        <f aca="true">IF(AND(AC464&lt;&gt;"Sold",AC464&lt;&gt;"",Z464&lt;&gt;""),TODAY()-Z464,"")</f>
        <v/>
      </c>
      <c r="AO464" s="4"/>
      <c r="AP464" s="4"/>
    </row>
    <row r="465" customFormat="false" ht="1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14"/>
      <c r="O465" s="15"/>
      <c r="P465" s="16"/>
      <c r="Q465" s="4"/>
      <c r="R465" s="17"/>
      <c r="S465" s="18" t="str">
        <f aca="false">IF(OR(P465="",R465=""),"",P465*R465)</f>
        <v/>
      </c>
      <c r="T465" s="14"/>
      <c r="U465" s="14"/>
      <c r="V465" s="14"/>
      <c r="W465" s="14"/>
      <c r="X465" s="18" t="str">
        <f aca="false">IF(S465="","",S465+N(T465)+N(U465)+N(V465)+N(W465))</f>
        <v/>
      </c>
      <c r="Y465" s="4"/>
      <c r="Z465" s="15"/>
      <c r="AA465" s="14"/>
      <c r="AB465" s="19"/>
      <c r="AC465" s="4"/>
      <c r="AD465" s="15"/>
      <c r="AE465" s="14"/>
      <c r="AF465" s="14"/>
      <c r="AG465" s="14"/>
      <c r="AH465" s="18" t="str">
        <f aca="false">IF(AND(AC465="Sold",AE465&lt;&gt;"",AF465&lt;&gt;""),AE465-AF465,"")</f>
        <v/>
      </c>
      <c r="AI465" s="18" t="str">
        <f aca="false">IF(AND(AC465="Sold",AF465&lt;&gt;"",X465&lt;&gt;""),AF465-N(AG465)-X465,"")</f>
        <v/>
      </c>
      <c r="AJ465" s="20" t="str">
        <f aca="false">IF(AND(AI465&lt;&gt;"",N(AE465)&gt;0),AI465/AE465,"")</f>
        <v/>
      </c>
      <c r="AK465" s="20" t="str">
        <f aca="false">IF(AND(AI465&lt;&gt;"",N(X465)&gt;0),AI465/X465,"")</f>
        <v/>
      </c>
      <c r="AL465" s="21" t="str">
        <f aca="false">IF(AND(AC465="Sold",AD465&lt;&gt;"",Z465&lt;&gt;""),AD465-Z465,"")</f>
        <v/>
      </c>
      <c r="AM465" s="20" t="str">
        <f aca="false">IF(AND(AC465="Sold",N(AA465)&gt;0,AE465&lt;&gt;""),1-AE465/AA465,"")</f>
        <v/>
      </c>
      <c r="AN465" s="21" t="str">
        <f aca="true">IF(AND(AC465&lt;&gt;"Sold",AC465&lt;&gt;"",Z465&lt;&gt;""),TODAY()-Z465,"")</f>
        <v/>
      </c>
      <c r="AO465" s="4"/>
      <c r="AP465" s="4"/>
    </row>
    <row r="466" customFormat="false" ht="1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14"/>
      <c r="O466" s="15"/>
      <c r="P466" s="16"/>
      <c r="Q466" s="4"/>
      <c r="R466" s="17"/>
      <c r="S466" s="18" t="str">
        <f aca="false">IF(OR(P466="",R466=""),"",P466*R466)</f>
        <v/>
      </c>
      <c r="T466" s="14"/>
      <c r="U466" s="14"/>
      <c r="V466" s="14"/>
      <c r="W466" s="14"/>
      <c r="X466" s="18" t="str">
        <f aca="false">IF(S466="","",S466+N(T466)+N(U466)+N(V466)+N(W466))</f>
        <v/>
      </c>
      <c r="Y466" s="4"/>
      <c r="Z466" s="15"/>
      <c r="AA466" s="14"/>
      <c r="AB466" s="19"/>
      <c r="AC466" s="4"/>
      <c r="AD466" s="15"/>
      <c r="AE466" s="14"/>
      <c r="AF466" s="14"/>
      <c r="AG466" s="14"/>
      <c r="AH466" s="18" t="str">
        <f aca="false">IF(AND(AC466="Sold",AE466&lt;&gt;"",AF466&lt;&gt;""),AE466-AF466,"")</f>
        <v/>
      </c>
      <c r="AI466" s="18" t="str">
        <f aca="false">IF(AND(AC466="Sold",AF466&lt;&gt;"",X466&lt;&gt;""),AF466-N(AG466)-X466,"")</f>
        <v/>
      </c>
      <c r="AJ466" s="20" t="str">
        <f aca="false">IF(AND(AI466&lt;&gt;"",N(AE466)&gt;0),AI466/AE466,"")</f>
        <v/>
      </c>
      <c r="AK466" s="20" t="str">
        <f aca="false">IF(AND(AI466&lt;&gt;"",N(X466)&gt;0),AI466/X466,"")</f>
        <v/>
      </c>
      <c r="AL466" s="21" t="str">
        <f aca="false">IF(AND(AC466="Sold",AD466&lt;&gt;"",Z466&lt;&gt;""),AD466-Z466,"")</f>
        <v/>
      </c>
      <c r="AM466" s="20" t="str">
        <f aca="false">IF(AND(AC466="Sold",N(AA466)&gt;0,AE466&lt;&gt;""),1-AE466/AA466,"")</f>
        <v/>
      </c>
      <c r="AN466" s="21" t="str">
        <f aca="true">IF(AND(AC466&lt;&gt;"Sold",AC466&lt;&gt;"",Z466&lt;&gt;""),TODAY()-Z466,"")</f>
        <v/>
      </c>
      <c r="AO466" s="4"/>
      <c r="AP466" s="4"/>
    </row>
    <row r="467" customFormat="false" ht="1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14"/>
      <c r="O467" s="15"/>
      <c r="P467" s="16"/>
      <c r="Q467" s="4"/>
      <c r="R467" s="17"/>
      <c r="S467" s="18" t="str">
        <f aca="false">IF(OR(P467="",R467=""),"",P467*R467)</f>
        <v/>
      </c>
      <c r="T467" s="14"/>
      <c r="U467" s="14"/>
      <c r="V467" s="14"/>
      <c r="W467" s="14"/>
      <c r="X467" s="18" t="str">
        <f aca="false">IF(S467="","",S467+N(T467)+N(U467)+N(V467)+N(W467))</f>
        <v/>
      </c>
      <c r="Y467" s="4"/>
      <c r="Z467" s="15"/>
      <c r="AA467" s="14"/>
      <c r="AB467" s="19"/>
      <c r="AC467" s="4"/>
      <c r="AD467" s="15"/>
      <c r="AE467" s="14"/>
      <c r="AF467" s="14"/>
      <c r="AG467" s="14"/>
      <c r="AH467" s="18" t="str">
        <f aca="false">IF(AND(AC467="Sold",AE467&lt;&gt;"",AF467&lt;&gt;""),AE467-AF467,"")</f>
        <v/>
      </c>
      <c r="AI467" s="18" t="str">
        <f aca="false">IF(AND(AC467="Sold",AF467&lt;&gt;"",X467&lt;&gt;""),AF467-N(AG467)-X467,"")</f>
        <v/>
      </c>
      <c r="AJ467" s="20" t="str">
        <f aca="false">IF(AND(AI467&lt;&gt;"",N(AE467)&gt;0),AI467/AE467,"")</f>
        <v/>
      </c>
      <c r="AK467" s="20" t="str">
        <f aca="false">IF(AND(AI467&lt;&gt;"",N(X467)&gt;0),AI467/X467,"")</f>
        <v/>
      </c>
      <c r="AL467" s="21" t="str">
        <f aca="false">IF(AND(AC467="Sold",AD467&lt;&gt;"",Z467&lt;&gt;""),AD467-Z467,"")</f>
        <v/>
      </c>
      <c r="AM467" s="20" t="str">
        <f aca="false">IF(AND(AC467="Sold",N(AA467)&gt;0,AE467&lt;&gt;""),1-AE467/AA467,"")</f>
        <v/>
      </c>
      <c r="AN467" s="21" t="str">
        <f aca="true">IF(AND(AC467&lt;&gt;"Sold",AC467&lt;&gt;"",Z467&lt;&gt;""),TODAY()-Z467,"")</f>
        <v/>
      </c>
      <c r="AO467" s="4"/>
      <c r="AP467" s="4"/>
    </row>
    <row r="468" customFormat="false" ht="1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14"/>
      <c r="O468" s="15"/>
      <c r="P468" s="16"/>
      <c r="Q468" s="4"/>
      <c r="R468" s="17"/>
      <c r="S468" s="18" t="str">
        <f aca="false">IF(OR(P468="",R468=""),"",P468*R468)</f>
        <v/>
      </c>
      <c r="T468" s="14"/>
      <c r="U468" s="14"/>
      <c r="V468" s="14"/>
      <c r="W468" s="14"/>
      <c r="X468" s="18" t="str">
        <f aca="false">IF(S468="","",S468+N(T468)+N(U468)+N(V468)+N(W468))</f>
        <v/>
      </c>
      <c r="Y468" s="4"/>
      <c r="Z468" s="15"/>
      <c r="AA468" s="14"/>
      <c r="AB468" s="19"/>
      <c r="AC468" s="4"/>
      <c r="AD468" s="15"/>
      <c r="AE468" s="14"/>
      <c r="AF468" s="14"/>
      <c r="AG468" s="14"/>
      <c r="AH468" s="18" t="str">
        <f aca="false">IF(AND(AC468="Sold",AE468&lt;&gt;"",AF468&lt;&gt;""),AE468-AF468,"")</f>
        <v/>
      </c>
      <c r="AI468" s="18" t="str">
        <f aca="false">IF(AND(AC468="Sold",AF468&lt;&gt;"",X468&lt;&gt;""),AF468-N(AG468)-X468,"")</f>
        <v/>
      </c>
      <c r="AJ468" s="20" t="str">
        <f aca="false">IF(AND(AI468&lt;&gt;"",N(AE468)&gt;0),AI468/AE468,"")</f>
        <v/>
      </c>
      <c r="AK468" s="20" t="str">
        <f aca="false">IF(AND(AI468&lt;&gt;"",N(X468)&gt;0),AI468/X468,"")</f>
        <v/>
      </c>
      <c r="AL468" s="21" t="str">
        <f aca="false">IF(AND(AC468="Sold",AD468&lt;&gt;"",Z468&lt;&gt;""),AD468-Z468,"")</f>
        <v/>
      </c>
      <c r="AM468" s="20" t="str">
        <f aca="false">IF(AND(AC468="Sold",N(AA468)&gt;0,AE468&lt;&gt;""),1-AE468/AA468,"")</f>
        <v/>
      </c>
      <c r="AN468" s="21" t="str">
        <f aca="true">IF(AND(AC468&lt;&gt;"Sold",AC468&lt;&gt;"",Z468&lt;&gt;""),TODAY()-Z468,"")</f>
        <v/>
      </c>
      <c r="AO468" s="4"/>
      <c r="AP468" s="4"/>
    </row>
    <row r="469" customFormat="false" ht="1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14"/>
      <c r="O469" s="15"/>
      <c r="P469" s="16"/>
      <c r="Q469" s="4"/>
      <c r="R469" s="17"/>
      <c r="S469" s="18" t="str">
        <f aca="false">IF(OR(P469="",R469=""),"",P469*R469)</f>
        <v/>
      </c>
      <c r="T469" s="14"/>
      <c r="U469" s="14"/>
      <c r="V469" s="14"/>
      <c r="W469" s="14"/>
      <c r="X469" s="18" t="str">
        <f aca="false">IF(S469="","",S469+N(T469)+N(U469)+N(V469)+N(W469))</f>
        <v/>
      </c>
      <c r="Y469" s="4"/>
      <c r="Z469" s="15"/>
      <c r="AA469" s="14"/>
      <c r="AB469" s="19"/>
      <c r="AC469" s="4"/>
      <c r="AD469" s="15"/>
      <c r="AE469" s="14"/>
      <c r="AF469" s="14"/>
      <c r="AG469" s="14"/>
      <c r="AH469" s="18" t="str">
        <f aca="false">IF(AND(AC469="Sold",AE469&lt;&gt;"",AF469&lt;&gt;""),AE469-AF469,"")</f>
        <v/>
      </c>
      <c r="AI469" s="18" t="str">
        <f aca="false">IF(AND(AC469="Sold",AF469&lt;&gt;"",X469&lt;&gt;""),AF469-N(AG469)-X469,"")</f>
        <v/>
      </c>
      <c r="AJ469" s="20" t="str">
        <f aca="false">IF(AND(AI469&lt;&gt;"",N(AE469)&gt;0),AI469/AE469,"")</f>
        <v/>
      </c>
      <c r="AK469" s="20" t="str">
        <f aca="false">IF(AND(AI469&lt;&gt;"",N(X469)&gt;0),AI469/X469,"")</f>
        <v/>
      </c>
      <c r="AL469" s="21" t="str">
        <f aca="false">IF(AND(AC469="Sold",AD469&lt;&gt;"",Z469&lt;&gt;""),AD469-Z469,"")</f>
        <v/>
      </c>
      <c r="AM469" s="20" t="str">
        <f aca="false">IF(AND(AC469="Sold",N(AA469)&gt;0,AE469&lt;&gt;""),1-AE469/AA469,"")</f>
        <v/>
      </c>
      <c r="AN469" s="21" t="str">
        <f aca="true">IF(AND(AC469&lt;&gt;"Sold",AC469&lt;&gt;"",Z469&lt;&gt;""),TODAY()-Z469,"")</f>
        <v/>
      </c>
      <c r="AO469" s="4"/>
      <c r="AP469" s="4"/>
    </row>
    <row r="470" customFormat="false" ht="1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14"/>
      <c r="O470" s="15"/>
      <c r="P470" s="16"/>
      <c r="Q470" s="4"/>
      <c r="R470" s="17"/>
      <c r="S470" s="18" t="str">
        <f aca="false">IF(OR(P470="",R470=""),"",P470*R470)</f>
        <v/>
      </c>
      <c r="T470" s="14"/>
      <c r="U470" s="14"/>
      <c r="V470" s="14"/>
      <c r="W470" s="14"/>
      <c r="X470" s="18" t="str">
        <f aca="false">IF(S470="","",S470+N(T470)+N(U470)+N(V470)+N(W470))</f>
        <v/>
      </c>
      <c r="Y470" s="4"/>
      <c r="Z470" s="15"/>
      <c r="AA470" s="14"/>
      <c r="AB470" s="19"/>
      <c r="AC470" s="4"/>
      <c r="AD470" s="15"/>
      <c r="AE470" s="14"/>
      <c r="AF470" s="14"/>
      <c r="AG470" s="14"/>
      <c r="AH470" s="18" t="str">
        <f aca="false">IF(AND(AC470="Sold",AE470&lt;&gt;"",AF470&lt;&gt;""),AE470-AF470,"")</f>
        <v/>
      </c>
      <c r="AI470" s="18" t="str">
        <f aca="false">IF(AND(AC470="Sold",AF470&lt;&gt;"",X470&lt;&gt;""),AF470-N(AG470)-X470,"")</f>
        <v/>
      </c>
      <c r="AJ470" s="20" t="str">
        <f aca="false">IF(AND(AI470&lt;&gt;"",N(AE470)&gt;0),AI470/AE470,"")</f>
        <v/>
      </c>
      <c r="AK470" s="20" t="str">
        <f aca="false">IF(AND(AI470&lt;&gt;"",N(X470)&gt;0),AI470/X470,"")</f>
        <v/>
      </c>
      <c r="AL470" s="21" t="str">
        <f aca="false">IF(AND(AC470="Sold",AD470&lt;&gt;"",Z470&lt;&gt;""),AD470-Z470,"")</f>
        <v/>
      </c>
      <c r="AM470" s="20" t="str">
        <f aca="false">IF(AND(AC470="Sold",N(AA470)&gt;0,AE470&lt;&gt;""),1-AE470/AA470,"")</f>
        <v/>
      </c>
      <c r="AN470" s="21" t="str">
        <f aca="true">IF(AND(AC470&lt;&gt;"Sold",AC470&lt;&gt;"",Z470&lt;&gt;""),TODAY()-Z470,"")</f>
        <v/>
      </c>
      <c r="AO470" s="4"/>
      <c r="AP470" s="4"/>
    </row>
    <row r="471" customFormat="false" ht="1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14"/>
      <c r="O471" s="15"/>
      <c r="P471" s="16"/>
      <c r="Q471" s="4"/>
      <c r="R471" s="17"/>
      <c r="S471" s="18" t="str">
        <f aca="false">IF(OR(P471="",R471=""),"",P471*R471)</f>
        <v/>
      </c>
      <c r="T471" s="14"/>
      <c r="U471" s="14"/>
      <c r="V471" s="14"/>
      <c r="W471" s="14"/>
      <c r="X471" s="18" t="str">
        <f aca="false">IF(S471="","",S471+N(T471)+N(U471)+N(V471)+N(W471))</f>
        <v/>
      </c>
      <c r="Y471" s="4"/>
      <c r="Z471" s="15"/>
      <c r="AA471" s="14"/>
      <c r="AB471" s="19"/>
      <c r="AC471" s="4"/>
      <c r="AD471" s="15"/>
      <c r="AE471" s="14"/>
      <c r="AF471" s="14"/>
      <c r="AG471" s="14"/>
      <c r="AH471" s="18" t="str">
        <f aca="false">IF(AND(AC471="Sold",AE471&lt;&gt;"",AF471&lt;&gt;""),AE471-AF471,"")</f>
        <v/>
      </c>
      <c r="AI471" s="18" t="str">
        <f aca="false">IF(AND(AC471="Sold",AF471&lt;&gt;"",X471&lt;&gt;""),AF471-N(AG471)-X471,"")</f>
        <v/>
      </c>
      <c r="AJ471" s="20" t="str">
        <f aca="false">IF(AND(AI471&lt;&gt;"",N(AE471)&gt;0),AI471/AE471,"")</f>
        <v/>
      </c>
      <c r="AK471" s="20" t="str">
        <f aca="false">IF(AND(AI471&lt;&gt;"",N(X471)&gt;0),AI471/X471,"")</f>
        <v/>
      </c>
      <c r="AL471" s="21" t="str">
        <f aca="false">IF(AND(AC471="Sold",AD471&lt;&gt;"",Z471&lt;&gt;""),AD471-Z471,"")</f>
        <v/>
      </c>
      <c r="AM471" s="20" t="str">
        <f aca="false">IF(AND(AC471="Sold",N(AA471)&gt;0,AE471&lt;&gt;""),1-AE471/AA471,"")</f>
        <v/>
      </c>
      <c r="AN471" s="21" t="str">
        <f aca="true">IF(AND(AC471&lt;&gt;"Sold",AC471&lt;&gt;"",Z471&lt;&gt;""),TODAY()-Z471,"")</f>
        <v/>
      </c>
      <c r="AO471" s="4"/>
      <c r="AP471" s="4"/>
    </row>
    <row r="472" customFormat="false" ht="1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14"/>
      <c r="O472" s="15"/>
      <c r="P472" s="16"/>
      <c r="Q472" s="4"/>
      <c r="R472" s="17"/>
      <c r="S472" s="18" t="str">
        <f aca="false">IF(OR(P472="",R472=""),"",P472*R472)</f>
        <v/>
      </c>
      <c r="T472" s="14"/>
      <c r="U472" s="14"/>
      <c r="V472" s="14"/>
      <c r="W472" s="14"/>
      <c r="X472" s="18" t="str">
        <f aca="false">IF(S472="","",S472+N(T472)+N(U472)+N(V472)+N(W472))</f>
        <v/>
      </c>
      <c r="Y472" s="4"/>
      <c r="Z472" s="15"/>
      <c r="AA472" s="14"/>
      <c r="AB472" s="19"/>
      <c r="AC472" s="4"/>
      <c r="AD472" s="15"/>
      <c r="AE472" s="14"/>
      <c r="AF472" s="14"/>
      <c r="AG472" s="14"/>
      <c r="AH472" s="18" t="str">
        <f aca="false">IF(AND(AC472="Sold",AE472&lt;&gt;"",AF472&lt;&gt;""),AE472-AF472,"")</f>
        <v/>
      </c>
      <c r="AI472" s="18" t="str">
        <f aca="false">IF(AND(AC472="Sold",AF472&lt;&gt;"",X472&lt;&gt;""),AF472-N(AG472)-X472,"")</f>
        <v/>
      </c>
      <c r="AJ472" s="20" t="str">
        <f aca="false">IF(AND(AI472&lt;&gt;"",N(AE472)&gt;0),AI472/AE472,"")</f>
        <v/>
      </c>
      <c r="AK472" s="20" t="str">
        <f aca="false">IF(AND(AI472&lt;&gt;"",N(X472)&gt;0),AI472/X472,"")</f>
        <v/>
      </c>
      <c r="AL472" s="21" t="str">
        <f aca="false">IF(AND(AC472="Sold",AD472&lt;&gt;"",Z472&lt;&gt;""),AD472-Z472,"")</f>
        <v/>
      </c>
      <c r="AM472" s="20" t="str">
        <f aca="false">IF(AND(AC472="Sold",N(AA472)&gt;0,AE472&lt;&gt;""),1-AE472/AA472,"")</f>
        <v/>
      </c>
      <c r="AN472" s="21" t="str">
        <f aca="true">IF(AND(AC472&lt;&gt;"Sold",AC472&lt;&gt;"",Z472&lt;&gt;""),TODAY()-Z472,"")</f>
        <v/>
      </c>
      <c r="AO472" s="4"/>
      <c r="AP472" s="4"/>
    </row>
    <row r="473" customFormat="false" ht="1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14"/>
      <c r="O473" s="15"/>
      <c r="P473" s="16"/>
      <c r="Q473" s="4"/>
      <c r="R473" s="17"/>
      <c r="S473" s="18" t="str">
        <f aca="false">IF(OR(P473="",R473=""),"",P473*R473)</f>
        <v/>
      </c>
      <c r="T473" s="14"/>
      <c r="U473" s="14"/>
      <c r="V473" s="14"/>
      <c r="W473" s="14"/>
      <c r="X473" s="18" t="str">
        <f aca="false">IF(S473="","",S473+N(T473)+N(U473)+N(V473)+N(W473))</f>
        <v/>
      </c>
      <c r="Y473" s="4"/>
      <c r="Z473" s="15"/>
      <c r="AA473" s="14"/>
      <c r="AB473" s="19"/>
      <c r="AC473" s="4"/>
      <c r="AD473" s="15"/>
      <c r="AE473" s="14"/>
      <c r="AF473" s="14"/>
      <c r="AG473" s="14"/>
      <c r="AH473" s="18" t="str">
        <f aca="false">IF(AND(AC473="Sold",AE473&lt;&gt;"",AF473&lt;&gt;""),AE473-AF473,"")</f>
        <v/>
      </c>
      <c r="AI473" s="18" t="str">
        <f aca="false">IF(AND(AC473="Sold",AF473&lt;&gt;"",X473&lt;&gt;""),AF473-N(AG473)-X473,"")</f>
        <v/>
      </c>
      <c r="AJ473" s="20" t="str">
        <f aca="false">IF(AND(AI473&lt;&gt;"",N(AE473)&gt;0),AI473/AE473,"")</f>
        <v/>
      </c>
      <c r="AK473" s="20" t="str">
        <f aca="false">IF(AND(AI473&lt;&gt;"",N(X473)&gt;0),AI473/X473,"")</f>
        <v/>
      </c>
      <c r="AL473" s="21" t="str">
        <f aca="false">IF(AND(AC473="Sold",AD473&lt;&gt;"",Z473&lt;&gt;""),AD473-Z473,"")</f>
        <v/>
      </c>
      <c r="AM473" s="20" t="str">
        <f aca="false">IF(AND(AC473="Sold",N(AA473)&gt;0,AE473&lt;&gt;""),1-AE473/AA473,"")</f>
        <v/>
      </c>
      <c r="AN473" s="21" t="str">
        <f aca="true">IF(AND(AC473&lt;&gt;"Sold",AC473&lt;&gt;"",Z473&lt;&gt;""),TODAY()-Z473,"")</f>
        <v/>
      </c>
      <c r="AO473" s="4"/>
      <c r="AP473" s="4"/>
    </row>
    <row r="474" customFormat="false" ht="1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14"/>
      <c r="O474" s="15"/>
      <c r="P474" s="16"/>
      <c r="Q474" s="4"/>
      <c r="R474" s="17"/>
      <c r="S474" s="18" t="str">
        <f aca="false">IF(OR(P474="",R474=""),"",P474*R474)</f>
        <v/>
      </c>
      <c r="T474" s="14"/>
      <c r="U474" s="14"/>
      <c r="V474" s="14"/>
      <c r="W474" s="14"/>
      <c r="X474" s="18" t="str">
        <f aca="false">IF(S474="","",S474+N(T474)+N(U474)+N(V474)+N(W474))</f>
        <v/>
      </c>
      <c r="Y474" s="4"/>
      <c r="Z474" s="15"/>
      <c r="AA474" s="14"/>
      <c r="AB474" s="19"/>
      <c r="AC474" s="4"/>
      <c r="AD474" s="15"/>
      <c r="AE474" s="14"/>
      <c r="AF474" s="14"/>
      <c r="AG474" s="14"/>
      <c r="AH474" s="18" t="str">
        <f aca="false">IF(AND(AC474="Sold",AE474&lt;&gt;"",AF474&lt;&gt;""),AE474-AF474,"")</f>
        <v/>
      </c>
      <c r="AI474" s="18" t="str">
        <f aca="false">IF(AND(AC474="Sold",AF474&lt;&gt;"",X474&lt;&gt;""),AF474-N(AG474)-X474,"")</f>
        <v/>
      </c>
      <c r="AJ474" s="20" t="str">
        <f aca="false">IF(AND(AI474&lt;&gt;"",N(AE474)&gt;0),AI474/AE474,"")</f>
        <v/>
      </c>
      <c r="AK474" s="20" t="str">
        <f aca="false">IF(AND(AI474&lt;&gt;"",N(X474)&gt;0),AI474/X474,"")</f>
        <v/>
      </c>
      <c r="AL474" s="21" t="str">
        <f aca="false">IF(AND(AC474="Sold",AD474&lt;&gt;"",Z474&lt;&gt;""),AD474-Z474,"")</f>
        <v/>
      </c>
      <c r="AM474" s="20" t="str">
        <f aca="false">IF(AND(AC474="Sold",N(AA474)&gt;0,AE474&lt;&gt;""),1-AE474/AA474,"")</f>
        <v/>
      </c>
      <c r="AN474" s="21" t="str">
        <f aca="true">IF(AND(AC474&lt;&gt;"Sold",AC474&lt;&gt;"",Z474&lt;&gt;""),TODAY()-Z474,"")</f>
        <v/>
      </c>
      <c r="AO474" s="4"/>
      <c r="AP474" s="4"/>
    </row>
    <row r="475" customFormat="false" ht="1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14"/>
      <c r="O475" s="15"/>
      <c r="P475" s="16"/>
      <c r="Q475" s="4"/>
      <c r="R475" s="17"/>
      <c r="S475" s="18" t="str">
        <f aca="false">IF(OR(P475="",R475=""),"",P475*R475)</f>
        <v/>
      </c>
      <c r="T475" s="14"/>
      <c r="U475" s="14"/>
      <c r="V475" s="14"/>
      <c r="W475" s="14"/>
      <c r="X475" s="18" t="str">
        <f aca="false">IF(S475="","",S475+N(T475)+N(U475)+N(V475)+N(W475))</f>
        <v/>
      </c>
      <c r="Y475" s="4"/>
      <c r="Z475" s="15"/>
      <c r="AA475" s="14"/>
      <c r="AB475" s="19"/>
      <c r="AC475" s="4"/>
      <c r="AD475" s="15"/>
      <c r="AE475" s="14"/>
      <c r="AF475" s="14"/>
      <c r="AG475" s="14"/>
      <c r="AH475" s="18" t="str">
        <f aca="false">IF(AND(AC475="Sold",AE475&lt;&gt;"",AF475&lt;&gt;""),AE475-AF475,"")</f>
        <v/>
      </c>
      <c r="AI475" s="18" t="str">
        <f aca="false">IF(AND(AC475="Sold",AF475&lt;&gt;"",X475&lt;&gt;""),AF475-N(AG475)-X475,"")</f>
        <v/>
      </c>
      <c r="AJ475" s="20" t="str">
        <f aca="false">IF(AND(AI475&lt;&gt;"",N(AE475)&gt;0),AI475/AE475,"")</f>
        <v/>
      </c>
      <c r="AK475" s="20" t="str">
        <f aca="false">IF(AND(AI475&lt;&gt;"",N(X475)&gt;0),AI475/X475,"")</f>
        <v/>
      </c>
      <c r="AL475" s="21" t="str">
        <f aca="false">IF(AND(AC475="Sold",AD475&lt;&gt;"",Z475&lt;&gt;""),AD475-Z475,"")</f>
        <v/>
      </c>
      <c r="AM475" s="20" t="str">
        <f aca="false">IF(AND(AC475="Sold",N(AA475)&gt;0,AE475&lt;&gt;""),1-AE475/AA475,"")</f>
        <v/>
      </c>
      <c r="AN475" s="21" t="str">
        <f aca="true">IF(AND(AC475&lt;&gt;"Sold",AC475&lt;&gt;"",Z475&lt;&gt;""),TODAY()-Z475,"")</f>
        <v/>
      </c>
      <c r="AO475" s="4"/>
      <c r="AP475" s="4"/>
    </row>
    <row r="476" customFormat="false" ht="1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14"/>
      <c r="O476" s="15"/>
      <c r="P476" s="16"/>
      <c r="Q476" s="4"/>
      <c r="R476" s="17"/>
      <c r="S476" s="18" t="str">
        <f aca="false">IF(OR(P476="",R476=""),"",P476*R476)</f>
        <v/>
      </c>
      <c r="T476" s="14"/>
      <c r="U476" s="14"/>
      <c r="V476" s="14"/>
      <c r="W476" s="14"/>
      <c r="X476" s="18" t="str">
        <f aca="false">IF(S476="","",S476+N(T476)+N(U476)+N(V476)+N(W476))</f>
        <v/>
      </c>
      <c r="Y476" s="4"/>
      <c r="Z476" s="15"/>
      <c r="AA476" s="14"/>
      <c r="AB476" s="19"/>
      <c r="AC476" s="4"/>
      <c r="AD476" s="15"/>
      <c r="AE476" s="14"/>
      <c r="AF476" s="14"/>
      <c r="AG476" s="14"/>
      <c r="AH476" s="18" t="str">
        <f aca="false">IF(AND(AC476="Sold",AE476&lt;&gt;"",AF476&lt;&gt;""),AE476-AF476,"")</f>
        <v/>
      </c>
      <c r="AI476" s="18" t="str">
        <f aca="false">IF(AND(AC476="Sold",AF476&lt;&gt;"",X476&lt;&gt;""),AF476-N(AG476)-X476,"")</f>
        <v/>
      </c>
      <c r="AJ476" s="20" t="str">
        <f aca="false">IF(AND(AI476&lt;&gt;"",N(AE476)&gt;0),AI476/AE476,"")</f>
        <v/>
      </c>
      <c r="AK476" s="20" t="str">
        <f aca="false">IF(AND(AI476&lt;&gt;"",N(X476)&gt;0),AI476/X476,"")</f>
        <v/>
      </c>
      <c r="AL476" s="21" t="str">
        <f aca="false">IF(AND(AC476="Sold",AD476&lt;&gt;"",Z476&lt;&gt;""),AD476-Z476,"")</f>
        <v/>
      </c>
      <c r="AM476" s="20" t="str">
        <f aca="false">IF(AND(AC476="Sold",N(AA476)&gt;0,AE476&lt;&gt;""),1-AE476/AA476,"")</f>
        <v/>
      </c>
      <c r="AN476" s="21" t="str">
        <f aca="true">IF(AND(AC476&lt;&gt;"Sold",AC476&lt;&gt;"",Z476&lt;&gt;""),TODAY()-Z476,"")</f>
        <v/>
      </c>
      <c r="AO476" s="4"/>
      <c r="AP476" s="4"/>
    </row>
    <row r="477" customFormat="false" ht="1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14"/>
      <c r="O477" s="15"/>
      <c r="P477" s="16"/>
      <c r="Q477" s="4"/>
      <c r="R477" s="17"/>
      <c r="S477" s="18" t="str">
        <f aca="false">IF(OR(P477="",R477=""),"",P477*R477)</f>
        <v/>
      </c>
      <c r="T477" s="14"/>
      <c r="U477" s="14"/>
      <c r="V477" s="14"/>
      <c r="W477" s="14"/>
      <c r="X477" s="18" t="str">
        <f aca="false">IF(S477="","",S477+N(T477)+N(U477)+N(V477)+N(W477))</f>
        <v/>
      </c>
      <c r="Y477" s="4"/>
      <c r="Z477" s="15"/>
      <c r="AA477" s="14"/>
      <c r="AB477" s="19"/>
      <c r="AC477" s="4"/>
      <c r="AD477" s="15"/>
      <c r="AE477" s="14"/>
      <c r="AF477" s="14"/>
      <c r="AG477" s="14"/>
      <c r="AH477" s="18" t="str">
        <f aca="false">IF(AND(AC477="Sold",AE477&lt;&gt;"",AF477&lt;&gt;""),AE477-AF477,"")</f>
        <v/>
      </c>
      <c r="AI477" s="18" t="str">
        <f aca="false">IF(AND(AC477="Sold",AF477&lt;&gt;"",X477&lt;&gt;""),AF477-N(AG477)-X477,"")</f>
        <v/>
      </c>
      <c r="AJ477" s="20" t="str">
        <f aca="false">IF(AND(AI477&lt;&gt;"",N(AE477)&gt;0),AI477/AE477,"")</f>
        <v/>
      </c>
      <c r="AK477" s="20" t="str">
        <f aca="false">IF(AND(AI477&lt;&gt;"",N(X477)&gt;0),AI477/X477,"")</f>
        <v/>
      </c>
      <c r="AL477" s="21" t="str">
        <f aca="false">IF(AND(AC477="Sold",AD477&lt;&gt;"",Z477&lt;&gt;""),AD477-Z477,"")</f>
        <v/>
      </c>
      <c r="AM477" s="20" t="str">
        <f aca="false">IF(AND(AC477="Sold",N(AA477)&gt;0,AE477&lt;&gt;""),1-AE477/AA477,"")</f>
        <v/>
      </c>
      <c r="AN477" s="21" t="str">
        <f aca="true">IF(AND(AC477&lt;&gt;"Sold",AC477&lt;&gt;"",Z477&lt;&gt;""),TODAY()-Z477,"")</f>
        <v/>
      </c>
      <c r="AO477" s="4"/>
      <c r="AP477" s="4"/>
    </row>
    <row r="478" customFormat="false" ht="1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14"/>
      <c r="O478" s="15"/>
      <c r="P478" s="16"/>
      <c r="Q478" s="4"/>
      <c r="R478" s="17"/>
      <c r="S478" s="18" t="str">
        <f aca="false">IF(OR(P478="",R478=""),"",P478*R478)</f>
        <v/>
      </c>
      <c r="T478" s="14"/>
      <c r="U478" s="14"/>
      <c r="V478" s="14"/>
      <c r="W478" s="14"/>
      <c r="X478" s="18" t="str">
        <f aca="false">IF(S478="","",S478+N(T478)+N(U478)+N(V478)+N(W478))</f>
        <v/>
      </c>
      <c r="Y478" s="4"/>
      <c r="Z478" s="15"/>
      <c r="AA478" s="14"/>
      <c r="AB478" s="19"/>
      <c r="AC478" s="4"/>
      <c r="AD478" s="15"/>
      <c r="AE478" s="14"/>
      <c r="AF478" s="14"/>
      <c r="AG478" s="14"/>
      <c r="AH478" s="18" t="str">
        <f aca="false">IF(AND(AC478="Sold",AE478&lt;&gt;"",AF478&lt;&gt;""),AE478-AF478,"")</f>
        <v/>
      </c>
      <c r="AI478" s="18" t="str">
        <f aca="false">IF(AND(AC478="Sold",AF478&lt;&gt;"",X478&lt;&gt;""),AF478-N(AG478)-X478,"")</f>
        <v/>
      </c>
      <c r="AJ478" s="20" t="str">
        <f aca="false">IF(AND(AI478&lt;&gt;"",N(AE478)&gt;0),AI478/AE478,"")</f>
        <v/>
      </c>
      <c r="AK478" s="20" t="str">
        <f aca="false">IF(AND(AI478&lt;&gt;"",N(X478)&gt;0),AI478/X478,"")</f>
        <v/>
      </c>
      <c r="AL478" s="21" t="str">
        <f aca="false">IF(AND(AC478="Sold",AD478&lt;&gt;"",Z478&lt;&gt;""),AD478-Z478,"")</f>
        <v/>
      </c>
      <c r="AM478" s="20" t="str">
        <f aca="false">IF(AND(AC478="Sold",N(AA478)&gt;0,AE478&lt;&gt;""),1-AE478/AA478,"")</f>
        <v/>
      </c>
      <c r="AN478" s="21" t="str">
        <f aca="true">IF(AND(AC478&lt;&gt;"Sold",AC478&lt;&gt;"",Z478&lt;&gt;""),TODAY()-Z478,"")</f>
        <v/>
      </c>
      <c r="AO478" s="4"/>
      <c r="AP478" s="4"/>
    </row>
    <row r="479" customFormat="false" ht="1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14"/>
      <c r="O479" s="15"/>
      <c r="P479" s="16"/>
      <c r="Q479" s="4"/>
      <c r="R479" s="17"/>
      <c r="S479" s="18" t="str">
        <f aca="false">IF(OR(P479="",R479=""),"",P479*R479)</f>
        <v/>
      </c>
      <c r="T479" s="14"/>
      <c r="U479" s="14"/>
      <c r="V479" s="14"/>
      <c r="W479" s="14"/>
      <c r="X479" s="18" t="str">
        <f aca="false">IF(S479="","",S479+N(T479)+N(U479)+N(V479)+N(W479))</f>
        <v/>
      </c>
      <c r="Y479" s="4"/>
      <c r="Z479" s="15"/>
      <c r="AA479" s="14"/>
      <c r="AB479" s="19"/>
      <c r="AC479" s="4"/>
      <c r="AD479" s="15"/>
      <c r="AE479" s="14"/>
      <c r="AF479" s="14"/>
      <c r="AG479" s="14"/>
      <c r="AH479" s="18" t="str">
        <f aca="false">IF(AND(AC479="Sold",AE479&lt;&gt;"",AF479&lt;&gt;""),AE479-AF479,"")</f>
        <v/>
      </c>
      <c r="AI479" s="18" t="str">
        <f aca="false">IF(AND(AC479="Sold",AF479&lt;&gt;"",X479&lt;&gt;""),AF479-N(AG479)-X479,"")</f>
        <v/>
      </c>
      <c r="AJ479" s="20" t="str">
        <f aca="false">IF(AND(AI479&lt;&gt;"",N(AE479)&gt;0),AI479/AE479,"")</f>
        <v/>
      </c>
      <c r="AK479" s="20" t="str">
        <f aca="false">IF(AND(AI479&lt;&gt;"",N(X479)&gt;0),AI479/X479,"")</f>
        <v/>
      </c>
      <c r="AL479" s="21" t="str">
        <f aca="false">IF(AND(AC479="Sold",AD479&lt;&gt;"",Z479&lt;&gt;""),AD479-Z479,"")</f>
        <v/>
      </c>
      <c r="AM479" s="20" t="str">
        <f aca="false">IF(AND(AC479="Sold",N(AA479)&gt;0,AE479&lt;&gt;""),1-AE479/AA479,"")</f>
        <v/>
      </c>
      <c r="AN479" s="21" t="str">
        <f aca="true">IF(AND(AC479&lt;&gt;"Sold",AC479&lt;&gt;"",Z479&lt;&gt;""),TODAY()-Z479,"")</f>
        <v/>
      </c>
      <c r="AO479" s="4"/>
      <c r="AP479" s="4"/>
    </row>
    <row r="480" customFormat="false" ht="1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14"/>
      <c r="O480" s="15"/>
      <c r="P480" s="16"/>
      <c r="Q480" s="4"/>
      <c r="R480" s="17"/>
      <c r="S480" s="18" t="str">
        <f aca="false">IF(OR(P480="",R480=""),"",P480*R480)</f>
        <v/>
      </c>
      <c r="T480" s="14"/>
      <c r="U480" s="14"/>
      <c r="V480" s="14"/>
      <c r="W480" s="14"/>
      <c r="X480" s="18" t="str">
        <f aca="false">IF(S480="","",S480+N(T480)+N(U480)+N(V480)+N(W480))</f>
        <v/>
      </c>
      <c r="Y480" s="4"/>
      <c r="Z480" s="15"/>
      <c r="AA480" s="14"/>
      <c r="AB480" s="19"/>
      <c r="AC480" s="4"/>
      <c r="AD480" s="15"/>
      <c r="AE480" s="14"/>
      <c r="AF480" s="14"/>
      <c r="AG480" s="14"/>
      <c r="AH480" s="18" t="str">
        <f aca="false">IF(AND(AC480="Sold",AE480&lt;&gt;"",AF480&lt;&gt;""),AE480-AF480,"")</f>
        <v/>
      </c>
      <c r="AI480" s="18" t="str">
        <f aca="false">IF(AND(AC480="Sold",AF480&lt;&gt;"",X480&lt;&gt;""),AF480-N(AG480)-X480,"")</f>
        <v/>
      </c>
      <c r="AJ480" s="20" t="str">
        <f aca="false">IF(AND(AI480&lt;&gt;"",N(AE480)&gt;0),AI480/AE480,"")</f>
        <v/>
      </c>
      <c r="AK480" s="20" t="str">
        <f aca="false">IF(AND(AI480&lt;&gt;"",N(X480)&gt;0),AI480/X480,"")</f>
        <v/>
      </c>
      <c r="AL480" s="21" t="str">
        <f aca="false">IF(AND(AC480="Sold",AD480&lt;&gt;"",Z480&lt;&gt;""),AD480-Z480,"")</f>
        <v/>
      </c>
      <c r="AM480" s="20" t="str">
        <f aca="false">IF(AND(AC480="Sold",N(AA480)&gt;0,AE480&lt;&gt;""),1-AE480/AA480,"")</f>
        <v/>
      </c>
      <c r="AN480" s="21" t="str">
        <f aca="true">IF(AND(AC480&lt;&gt;"Sold",AC480&lt;&gt;"",Z480&lt;&gt;""),TODAY()-Z480,"")</f>
        <v/>
      </c>
      <c r="AO480" s="4"/>
      <c r="AP480" s="4"/>
    </row>
    <row r="481" customFormat="false" ht="1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14"/>
      <c r="O481" s="15"/>
      <c r="P481" s="16"/>
      <c r="Q481" s="4"/>
      <c r="R481" s="17"/>
      <c r="S481" s="18" t="str">
        <f aca="false">IF(OR(P481="",R481=""),"",P481*R481)</f>
        <v/>
      </c>
      <c r="T481" s="14"/>
      <c r="U481" s="14"/>
      <c r="V481" s="14"/>
      <c r="W481" s="14"/>
      <c r="X481" s="18" t="str">
        <f aca="false">IF(S481="","",S481+N(T481)+N(U481)+N(V481)+N(W481))</f>
        <v/>
      </c>
      <c r="Y481" s="4"/>
      <c r="Z481" s="15"/>
      <c r="AA481" s="14"/>
      <c r="AB481" s="19"/>
      <c r="AC481" s="4"/>
      <c r="AD481" s="15"/>
      <c r="AE481" s="14"/>
      <c r="AF481" s="14"/>
      <c r="AG481" s="14"/>
      <c r="AH481" s="18" t="str">
        <f aca="false">IF(AND(AC481="Sold",AE481&lt;&gt;"",AF481&lt;&gt;""),AE481-AF481,"")</f>
        <v/>
      </c>
      <c r="AI481" s="18" t="str">
        <f aca="false">IF(AND(AC481="Sold",AF481&lt;&gt;"",X481&lt;&gt;""),AF481-N(AG481)-X481,"")</f>
        <v/>
      </c>
      <c r="AJ481" s="20" t="str">
        <f aca="false">IF(AND(AI481&lt;&gt;"",N(AE481)&gt;0),AI481/AE481,"")</f>
        <v/>
      </c>
      <c r="AK481" s="20" t="str">
        <f aca="false">IF(AND(AI481&lt;&gt;"",N(X481)&gt;0),AI481/X481,"")</f>
        <v/>
      </c>
      <c r="AL481" s="21" t="str">
        <f aca="false">IF(AND(AC481="Sold",AD481&lt;&gt;"",Z481&lt;&gt;""),AD481-Z481,"")</f>
        <v/>
      </c>
      <c r="AM481" s="20" t="str">
        <f aca="false">IF(AND(AC481="Sold",N(AA481)&gt;0,AE481&lt;&gt;""),1-AE481/AA481,"")</f>
        <v/>
      </c>
      <c r="AN481" s="21" t="str">
        <f aca="true">IF(AND(AC481&lt;&gt;"Sold",AC481&lt;&gt;"",Z481&lt;&gt;""),TODAY()-Z481,"")</f>
        <v/>
      </c>
      <c r="AO481" s="4"/>
      <c r="AP481" s="4"/>
    </row>
    <row r="482" customFormat="false" ht="1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14"/>
      <c r="O482" s="15"/>
      <c r="P482" s="16"/>
      <c r="Q482" s="4"/>
      <c r="R482" s="17"/>
      <c r="S482" s="18" t="str">
        <f aca="false">IF(OR(P482="",R482=""),"",P482*R482)</f>
        <v/>
      </c>
      <c r="T482" s="14"/>
      <c r="U482" s="14"/>
      <c r="V482" s="14"/>
      <c r="W482" s="14"/>
      <c r="X482" s="18" t="str">
        <f aca="false">IF(S482="","",S482+N(T482)+N(U482)+N(V482)+N(W482))</f>
        <v/>
      </c>
      <c r="Y482" s="4"/>
      <c r="Z482" s="15"/>
      <c r="AA482" s="14"/>
      <c r="AB482" s="19"/>
      <c r="AC482" s="4"/>
      <c r="AD482" s="15"/>
      <c r="AE482" s="14"/>
      <c r="AF482" s="14"/>
      <c r="AG482" s="14"/>
      <c r="AH482" s="18" t="str">
        <f aca="false">IF(AND(AC482="Sold",AE482&lt;&gt;"",AF482&lt;&gt;""),AE482-AF482,"")</f>
        <v/>
      </c>
      <c r="AI482" s="18" t="str">
        <f aca="false">IF(AND(AC482="Sold",AF482&lt;&gt;"",X482&lt;&gt;""),AF482-N(AG482)-X482,"")</f>
        <v/>
      </c>
      <c r="AJ482" s="20" t="str">
        <f aca="false">IF(AND(AI482&lt;&gt;"",N(AE482)&gt;0),AI482/AE482,"")</f>
        <v/>
      </c>
      <c r="AK482" s="20" t="str">
        <f aca="false">IF(AND(AI482&lt;&gt;"",N(X482)&gt;0),AI482/X482,"")</f>
        <v/>
      </c>
      <c r="AL482" s="21" t="str">
        <f aca="false">IF(AND(AC482="Sold",AD482&lt;&gt;"",Z482&lt;&gt;""),AD482-Z482,"")</f>
        <v/>
      </c>
      <c r="AM482" s="20" t="str">
        <f aca="false">IF(AND(AC482="Sold",N(AA482)&gt;0,AE482&lt;&gt;""),1-AE482/AA482,"")</f>
        <v/>
      </c>
      <c r="AN482" s="21" t="str">
        <f aca="true">IF(AND(AC482&lt;&gt;"Sold",AC482&lt;&gt;"",Z482&lt;&gt;""),TODAY()-Z482,"")</f>
        <v/>
      </c>
      <c r="AO482" s="4"/>
      <c r="AP482" s="4"/>
    </row>
    <row r="483" customFormat="false" ht="1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14"/>
      <c r="O483" s="15"/>
      <c r="P483" s="16"/>
      <c r="Q483" s="4"/>
      <c r="R483" s="17"/>
      <c r="S483" s="18" t="str">
        <f aca="false">IF(OR(P483="",R483=""),"",P483*R483)</f>
        <v/>
      </c>
      <c r="T483" s="14"/>
      <c r="U483" s="14"/>
      <c r="V483" s="14"/>
      <c r="W483" s="14"/>
      <c r="X483" s="18" t="str">
        <f aca="false">IF(S483="","",S483+N(T483)+N(U483)+N(V483)+N(W483))</f>
        <v/>
      </c>
      <c r="Y483" s="4"/>
      <c r="Z483" s="15"/>
      <c r="AA483" s="14"/>
      <c r="AB483" s="19"/>
      <c r="AC483" s="4"/>
      <c r="AD483" s="15"/>
      <c r="AE483" s="14"/>
      <c r="AF483" s="14"/>
      <c r="AG483" s="14"/>
      <c r="AH483" s="18" t="str">
        <f aca="false">IF(AND(AC483="Sold",AE483&lt;&gt;"",AF483&lt;&gt;""),AE483-AF483,"")</f>
        <v/>
      </c>
      <c r="AI483" s="18" t="str">
        <f aca="false">IF(AND(AC483="Sold",AF483&lt;&gt;"",X483&lt;&gt;""),AF483-N(AG483)-X483,"")</f>
        <v/>
      </c>
      <c r="AJ483" s="20" t="str">
        <f aca="false">IF(AND(AI483&lt;&gt;"",N(AE483)&gt;0),AI483/AE483,"")</f>
        <v/>
      </c>
      <c r="AK483" s="20" t="str">
        <f aca="false">IF(AND(AI483&lt;&gt;"",N(X483)&gt;0),AI483/X483,"")</f>
        <v/>
      </c>
      <c r="AL483" s="21" t="str">
        <f aca="false">IF(AND(AC483="Sold",AD483&lt;&gt;"",Z483&lt;&gt;""),AD483-Z483,"")</f>
        <v/>
      </c>
      <c r="AM483" s="20" t="str">
        <f aca="false">IF(AND(AC483="Sold",N(AA483)&gt;0,AE483&lt;&gt;""),1-AE483/AA483,"")</f>
        <v/>
      </c>
      <c r="AN483" s="21" t="str">
        <f aca="true">IF(AND(AC483&lt;&gt;"Sold",AC483&lt;&gt;"",Z483&lt;&gt;""),TODAY()-Z483,"")</f>
        <v/>
      </c>
      <c r="AO483" s="4"/>
      <c r="AP483" s="4"/>
    </row>
    <row r="484" customFormat="false" ht="1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14"/>
      <c r="O484" s="15"/>
      <c r="P484" s="16"/>
      <c r="Q484" s="4"/>
      <c r="R484" s="17"/>
      <c r="S484" s="18" t="str">
        <f aca="false">IF(OR(P484="",R484=""),"",P484*R484)</f>
        <v/>
      </c>
      <c r="T484" s="14"/>
      <c r="U484" s="14"/>
      <c r="V484" s="14"/>
      <c r="W484" s="14"/>
      <c r="X484" s="18" t="str">
        <f aca="false">IF(S484="","",S484+N(T484)+N(U484)+N(V484)+N(W484))</f>
        <v/>
      </c>
      <c r="Y484" s="4"/>
      <c r="Z484" s="15"/>
      <c r="AA484" s="14"/>
      <c r="AB484" s="19"/>
      <c r="AC484" s="4"/>
      <c r="AD484" s="15"/>
      <c r="AE484" s="14"/>
      <c r="AF484" s="14"/>
      <c r="AG484" s="14"/>
      <c r="AH484" s="18" t="str">
        <f aca="false">IF(AND(AC484="Sold",AE484&lt;&gt;"",AF484&lt;&gt;""),AE484-AF484,"")</f>
        <v/>
      </c>
      <c r="AI484" s="18" t="str">
        <f aca="false">IF(AND(AC484="Sold",AF484&lt;&gt;"",X484&lt;&gt;""),AF484-N(AG484)-X484,"")</f>
        <v/>
      </c>
      <c r="AJ484" s="20" t="str">
        <f aca="false">IF(AND(AI484&lt;&gt;"",N(AE484)&gt;0),AI484/AE484,"")</f>
        <v/>
      </c>
      <c r="AK484" s="20" t="str">
        <f aca="false">IF(AND(AI484&lt;&gt;"",N(X484)&gt;0),AI484/X484,"")</f>
        <v/>
      </c>
      <c r="AL484" s="21" t="str">
        <f aca="false">IF(AND(AC484="Sold",AD484&lt;&gt;"",Z484&lt;&gt;""),AD484-Z484,"")</f>
        <v/>
      </c>
      <c r="AM484" s="20" t="str">
        <f aca="false">IF(AND(AC484="Sold",N(AA484)&gt;0,AE484&lt;&gt;""),1-AE484/AA484,"")</f>
        <v/>
      </c>
      <c r="AN484" s="21" t="str">
        <f aca="true">IF(AND(AC484&lt;&gt;"Sold",AC484&lt;&gt;"",Z484&lt;&gt;""),TODAY()-Z484,"")</f>
        <v/>
      </c>
      <c r="AO484" s="4"/>
      <c r="AP484" s="4"/>
    </row>
    <row r="485" customFormat="false" ht="1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14"/>
      <c r="O485" s="15"/>
      <c r="P485" s="16"/>
      <c r="Q485" s="4"/>
      <c r="R485" s="17"/>
      <c r="S485" s="18" t="str">
        <f aca="false">IF(OR(P485="",R485=""),"",P485*R485)</f>
        <v/>
      </c>
      <c r="T485" s="14"/>
      <c r="U485" s="14"/>
      <c r="V485" s="14"/>
      <c r="W485" s="14"/>
      <c r="X485" s="18" t="str">
        <f aca="false">IF(S485="","",S485+N(T485)+N(U485)+N(V485)+N(W485))</f>
        <v/>
      </c>
      <c r="Y485" s="4"/>
      <c r="Z485" s="15"/>
      <c r="AA485" s="14"/>
      <c r="AB485" s="19"/>
      <c r="AC485" s="4"/>
      <c r="AD485" s="15"/>
      <c r="AE485" s="14"/>
      <c r="AF485" s="14"/>
      <c r="AG485" s="14"/>
      <c r="AH485" s="18" t="str">
        <f aca="false">IF(AND(AC485="Sold",AE485&lt;&gt;"",AF485&lt;&gt;""),AE485-AF485,"")</f>
        <v/>
      </c>
      <c r="AI485" s="18" t="str">
        <f aca="false">IF(AND(AC485="Sold",AF485&lt;&gt;"",X485&lt;&gt;""),AF485-N(AG485)-X485,"")</f>
        <v/>
      </c>
      <c r="AJ485" s="20" t="str">
        <f aca="false">IF(AND(AI485&lt;&gt;"",N(AE485)&gt;0),AI485/AE485,"")</f>
        <v/>
      </c>
      <c r="AK485" s="20" t="str">
        <f aca="false">IF(AND(AI485&lt;&gt;"",N(X485)&gt;0),AI485/X485,"")</f>
        <v/>
      </c>
      <c r="AL485" s="21" t="str">
        <f aca="false">IF(AND(AC485="Sold",AD485&lt;&gt;"",Z485&lt;&gt;""),AD485-Z485,"")</f>
        <v/>
      </c>
      <c r="AM485" s="20" t="str">
        <f aca="false">IF(AND(AC485="Sold",N(AA485)&gt;0,AE485&lt;&gt;""),1-AE485/AA485,"")</f>
        <v/>
      </c>
      <c r="AN485" s="21" t="str">
        <f aca="true">IF(AND(AC485&lt;&gt;"Sold",AC485&lt;&gt;"",Z485&lt;&gt;""),TODAY()-Z485,"")</f>
        <v/>
      </c>
      <c r="AO485" s="4"/>
      <c r="AP485" s="4"/>
    </row>
    <row r="486" customFormat="false" ht="1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14"/>
      <c r="O486" s="15"/>
      <c r="P486" s="16"/>
      <c r="Q486" s="4"/>
      <c r="R486" s="17"/>
      <c r="S486" s="18" t="str">
        <f aca="false">IF(OR(P486="",R486=""),"",P486*R486)</f>
        <v/>
      </c>
      <c r="T486" s="14"/>
      <c r="U486" s="14"/>
      <c r="V486" s="14"/>
      <c r="W486" s="14"/>
      <c r="X486" s="18" t="str">
        <f aca="false">IF(S486="","",S486+N(T486)+N(U486)+N(V486)+N(W486))</f>
        <v/>
      </c>
      <c r="Y486" s="4"/>
      <c r="Z486" s="15"/>
      <c r="AA486" s="14"/>
      <c r="AB486" s="19"/>
      <c r="AC486" s="4"/>
      <c r="AD486" s="15"/>
      <c r="AE486" s="14"/>
      <c r="AF486" s="14"/>
      <c r="AG486" s="14"/>
      <c r="AH486" s="18" t="str">
        <f aca="false">IF(AND(AC486="Sold",AE486&lt;&gt;"",AF486&lt;&gt;""),AE486-AF486,"")</f>
        <v/>
      </c>
      <c r="AI486" s="18" t="str">
        <f aca="false">IF(AND(AC486="Sold",AF486&lt;&gt;"",X486&lt;&gt;""),AF486-N(AG486)-X486,"")</f>
        <v/>
      </c>
      <c r="AJ486" s="20" t="str">
        <f aca="false">IF(AND(AI486&lt;&gt;"",N(AE486)&gt;0),AI486/AE486,"")</f>
        <v/>
      </c>
      <c r="AK486" s="20" t="str">
        <f aca="false">IF(AND(AI486&lt;&gt;"",N(X486)&gt;0),AI486/X486,"")</f>
        <v/>
      </c>
      <c r="AL486" s="21" t="str">
        <f aca="false">IF(AND(AC486="Sold",AD486&lt;&gt;"",Z486&lt;&gt;""),AD486-Z486,"")</f>
        <v/>
      </c>
      <c r="AM486" s="20" t="str">
        <f aca="false">IF(AND(AC486="Sold",N(AA486)&gt;0,AE486&lt;&gt;""),1-AE486/AA486,"")</f>
        <v/>
      </c>
      <c r="AN486" s="21" t="str">
        <f aca="true">IF(AND(AC486&lt;&gt;"Sold",AC486&lt;&gt;"",Z486&lt;&gt;""),TODAY()-Z486,"")</f>
        <v/>
      </c>
      <c r="AO486" s="4"/>
      <c r="AP486" s="4"/>
    </row>
    <row r="487" customFormat="false" ht="1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14"/>
      <c r="O487" s="15"/>
      <c r="P487" s="16"/>
      <c r="Q487" s="4"/>
      <c r="R487" s="17"/>
      <c r="S487" s="18" t="str">
        <f aca="false">IF(OR(P487="",R487=""),"",P487*R487)</f>
        <v/>
      </c>
      <c r="T487" s="14"/>
      <c r="U487" s="14"/>
      <c r="V487" s="14"/>
      <c r="W487" s="14"/>
      <c r="X487" s="18" t="str">
        <f aca="false">IF(S487="","",S487+N(T487)+N(U487)+N(V487)+N(W487))</f>
        <v/>
      </c>
      <c r="Y487" s="4"/>
      <c r="Z487" s="15"/>
      <c r="AA487" s="14"/>
      <c r="AB487" s="19"/>
      <c r="AC487" s="4"/>
      <c r="AD487" s="15"/>
      <c r="AE487" s="14"/>
      <c r="AF487" s="14"/>
      <c r="AG487" s="14"/>
      <c r="AH487" s="18" t="str">
        <f aca="false">IF(AND(AC487="Sold",AE487&lt;&gt;"",AF487&lt;&gt;""),AE487-AF487,"")</f>
        <v/>
      </c>
      <c r="AI487" s="18" t="str">
        <f aca="false">IF(AND(AC487="Sold",AF487&lt;&gt;"",X487&lt;&gt;""),AF487-N(AG487)-X487,"")</f>
        <v/>
      </c>
      <c r="AJ487" s="20" t="str">
        <f aca="false">IF(AND(AI487&lt;&gt;"",N(AE487)&gt;0),AI487/AE487,"")</f>
        <v/>
      </c>
      <c r="AK487" s="20" t="str">
        <f aca="false">IF(AND(AI487&lt;&gt;"",N(X487)&gt;0),AI487/X487,"")</f>
        <v/>
      </c>
      <c r="AL487" s="21" t="str">
        <f aca="false">IF(AND(AC487="Sold",AD487&lt;&gt;"",Z487&lt;&gt;""),AD487-Z487,"")</f>
        <v/>
      </c>
      <c r="AM487" s="20" t="str">
        <f aca="false">IF(AND(AC487="Sold",N(AA487)&gt;0,AE487&lt;&gt;""),1-AE487/AA487,"")</f>
        <v/>
      </c>
      <c r="AN487" s="21" t="str">
        <f aca="true">IF(AND(AC487&lt;&gt;"Sold",AC487&lt;&gt;"",Z487&lt;&gt;""),TODAY()-Z487,"")</f>
        <v/>
      </c>
      <c r="AO487" s="4"/>
      <c r="AP487" s="4"/>
    </row>
    <row r="488" customFormat="false" ht="1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14"/>
      <c r="O488" s="15"/>
      <c r="P488" s="16"/>
      <c r="Q488" s="4"/>
      <c r="R488" s="17"/>
      <c r="S488" s="18" t="str">
        <f aca="false">IF(OR(P488="",R488=""),"",P488*R488)</f>
        <v/>
      </c>
      <c r="T488" s="14"/>
      <c r="U488" s="14"/>
      <c r="V488" s="14"/>
      <c r="W488" s="14"/>
      <c r="X488" s="18" t="str">
        <f aca="false">IF(S488="","",S488+N(T488)+N(U488)+N(V488)+N(W488))</f>
        <v/>
      </c>
      <c r="Y488" s="4"/>
      <c r="Z488" s="15"/>
      <c r="AA488" s="14"/>
      <c r="AB488" s="19"/>
      <c r="AC488" s="4"/>
      <c r="AD488" s="15"/>
      <c r="AE488" s="14"/>
      <c r="AF488" s="14"/>
      <c r="AG488" s="14"/>
      <c r="AH488" s="18" t="str">
        <f aca="false">IF(AND(AC488="Sold",AE488&lt;&gt;"",AF488&lt;&gt;""),AE488-AF488,"")</f>
        <v/>
      </c>
      <c r="AI488" s="18" t="str">
        <f aca="false">IF(AND(AC488="Sold",AF488&lt;&gt;"",X488&lt;&gt;""),AF488-N(AG488)-X488,"")</f>
        <v/>
      </c>
      <c r="AJ488" s="20" t="str">
        <f aca="false">IF(AND(AI488&lt;&gt;"",N(AE488)&gt;0),AI488/AE488,"")</f>
        <v/>
      </c>
      <c r="AK488" s="20" t="str">
        <f aca="false">IF(AND(AI488&lt;&gt;"",N(X488)&gt;0),AI488/X488,"")</f>
        <v/>
      </c>
      <c r="AL488" s="21" t="str">
        <f aca="false">IF(AND(AC488="Sold",AD488&lt;&gt;"",Z488&lt;&gt;""),AD488-Z488,"")</f>
        <v/>
      </c>
      <c r="AM488" s="20" t="str">
        <f aca="false">IF(AND(AC488="Sold",N(AA488)&gt;0,AE488&lt;&gt;""),1-AE488/AA488,"")</f>
        <v/>
      </c>
      <c r="AN488" s="21" t="str">
        <f aca="true">IF(AND(AC488&lt;&gt;"Sold",AC488&lt;&gt;"",Z488&lt;&gt;""),TODAY()-Z488,"")</f>
        <v/>
      </c>
      <c r="AO488" s="4"/>
      <c r="AP488" s="4"/>
    </row>
    <row r="489" customFormat="false" ht="1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14"/>
      <c r="O489" s="15"/>
      <c r="P489" s="16"/>
      <c r="Q489" s="4"/>
      <c r="R489" s="17"/>
      <c r="S489" s="18" t="str">
        <f aca="false">IF(OR(P489="",R489=""),"",P489*R489)</f>
        <v/>
      </c>
      <c r="T489" s="14"/>
      <c r="U489" s="14"/>
      <c r="V489" s="14"/>
      <c r="W489" s="14"/>
      <c r="X489" s="18" t="str">
        <f aca="false">IF(S489="","",S489+N(T489)+N(U489)+N(V489)+N(W489))</f>
        <v/>
      </c>
      <c r="Y489" s="4"/>
      <c r="Z489" s="15"/>
      <c r="AA489" s="14"/>
      <c r="AB489" s="19"/>
      <c r="AC489" s="4"/>
      <c r="AD489" s="15"/>
      <c r="AE489" s="14"/>
      <c r="AF489" s="14"/>
      <c r="AG489" s="14"/>
      <c r="AH489" s="18" t="str">
        <f aca="false">IF(AND(AC489="Sold",AE489&lt;&gt;"",AF489&lt;&gt;""),AE489-AF489,"")</f>
        <v/>
      </c>
      <c r="AI489" s="18" t="str">
        <f aca="false">IF(AND(AC489="Sold",AF489&lt;&gt;"",X489&lt;&gt;""),AF489-N(AG489)-X489,"")</f>
        <v/>
      </c>
      <c r="AJ489" s="20" t="str">
        <f aca="false">IF(AND(AI489&lt;&gt;"",N(AE489)&gt;0),AI489/AE489,"")</f>
        <v/>
      </c>
      <c r="AK489" s="20" t="str">
        <f aca="false">IF(AND(AI489&lt;&gt;"",N(X489)&gt;0),AI489/X489,"")</f>
        <v/>
      </c>
      <c r="AL489" s="21" t="str">
        <f aca="false">IF(AND(AC489="Sold",AD489&lt;&gt;"",Z489&lt;&gt;""),AD489-Z489,"")</f>
        <v/>
      </c>
      <c r="AM489" s="20" t="str">
        <f aca="false">IF(AND(AC489="Sold",N(AA489)&gt;0,AE489&lt;&gt;""),1-AE489/AA489,"")</f>
        <v/>
      </c>
      <c r="AN489" s="21" t="str">
        <f aca="true">IF(AND(AC489&lt;&gt;"Sold",AC489&lt;&gt;"",Z489&lt;&gt;""),TODAY()-Z489,"")</f>
        <v/>
      </c>
      <c r="AO489" s="4"/>
      <c r="AP489" s="4"/>
    </row>
    <row r="490" customFormat="false" ht="1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14"/>
      <c r="O490" s="15"/>
      <c r="P490" s="16"/>
      <c r="Q490" s="4"/>
      <c r="R490" s="17"/>
      <c r="S490" s="18" t="str">
        <f aca="false">IF(OR(P490="",R490=""),"",P490*R490)</f>
        <v/>
      </c>
      <c r="T490" s="14"/>
      <c r="U490" s="14"/>
      <c r="V490" s="14"/>
      <c r="W490" s="14"/>
      <c r="X490" s="18" t="str">
        <f aca="false">IF(S490="","",S490+N(T490)+N(U490)+N(V490)+N(W490))</f>
        <v/>
      </c>
      <c r="Y490" s="4"/>
      <c r="Z490" s="15"/>
      <c r="AA490" s="14"/>
      <c r="AB490" s="19"/>
      <c r="AC490" s="4"/>
      <c r="AD490" s="15"/>
      <c r="AE490" s="14"/>
      <c r="AF490" s="14"/>
      <c r="AG490" s="14"/>
      <c r="AH490" s="18" t="str">
        <f aca="false">IF(AND(AC490="Sold",AE490&lt;&gt;"",AF490&lt;&gt;""),AE490-AF490,"")</f>
        <v/>
      </c>
      <c r="AI490" s="18" t="str">
        <f aca="false">IF(AND(AC490="Sold",AF490&lt;&gt;"",X490&lt;&gt;""),AF490-N(AG490)-X490,"")</f>
        <v/>
      </c>
      <c r="AJ490" s="20" t="str">
        <f aca="false">IF(AND(AI490&lt;&gt;"",N(AE490)&gt;0),AI490/AE490,"")</f>
        <v/>
      </c>
      <c r="AK490" s="20" t="str">
        <f aca="false">IF(AND(AI490&lt;&gt;"",N(X490)&gt;0),AI490/X490,"")</f>
        <v/>
      </c>
      <c r="AL490" s="21" t="str">
        <f aca="false">IF(AND(AC490="Sold",AD490&lt;&gt;"",Z490&lt;&gt;""),AD490-Z490,"")</f>
        <v/>
      </c>
      <c r="AM490" s="20" t="str">
        <f aca="false">IF(AND(AC490="Sold",N(AA490)&gt;0,AE490&lt;&gt;""),1-AE490/AA490,"")</f>
        <v/>
      </c>
      <c r="AN490" s="21" t="str">
        <f aca="true">IF(AND(AC490&lt;&gt;"Sold",AC490&lt;&gt;"",Z490&lt;&gt;""),TODAY()-Z490,"")</f>
        <v/>
      </c>
      <c r="AO490" s="4"/>
      <c r="AP490" s="4"/>
    </row>
    <row r="491" customFormat="false" ht="1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14"/>
      <c r="O491" s="15"/>
      <c r="P491" s="16"/>
      <c r="Q491" s="4"/>
      <c r="R491" s="17"/>
      <c r="S491" s="18" t="str">
        <f aca="false">IF(OR(P491="",R491=""),"",P491*R491)</f>
        <v/>
      </c>
      <c r="T491" s="14"/>
      <c r="U491" s="14"/>
      <c r="V491" s="14"/>
      <c r="W491" s="14"/>
      <c r="X491" s="18" t="str">
        <f aca="false">IF(S491="","",S491+N(T491)+N(U491)+N(V491)+N(W491))</f>
        <v/>
      </c>
      <c r="Y491" s="4"/>
      <c r="Z491" s="15"/>
      <c r="AA491" s="14"/>
      <c r="AB491" s="19"/>
      <c r="AC491" s="4"/>
      <c r="AD491" s="15"/>
      <c r="AE491" s="14"/>
      <c r="AF491" s="14"/>
      <c r="AG491" s="14"/>
      <c r="AH491" s="18" t="str">
        <f aca="false">IF(AND(AC491="Sold",AE491&lt;&gt;"",AF491&lt;&gt;""),AE491-AF491,"")</f>
        <v/>
      </c>
      <c r="AI491" s="18" t="str">
        <f aca="false">IF(AND(AC491="Sold",AF491&lt;&gt;"",X491&lt;&gt;""),AF491-N(AG491)-X491,"")</f>
        <v/>
      </c>
      <c r="AJ491" s="20" t="str">
        <f aca="false">IF(AND(AI491&lt;&gt;"",N(AE491)&gt;0),AI491/AE491,"")</f>
        <v/>
      </c>
      <c r="AK491" s="20" t="str">
        <f aca="false">IF(AND(AI491&lt;&gt;"",N(X491)&gt;0),AI491/X491,"")</f>
        <v/>
      </c>
      <c r="AL491" s="21" t="str">
        <f aca="false">IF(AND(AC491="Sold",AD491&lt;&gt;"",Z491&lt;&gt;""),AD491-Z491,"")</f>
        <v/>
      </c>
      <c r="AM491" s="20" t="str">
        <f aca="false">IF(AND(AC491="Sold",N(AA491)&gt;0,AE491&lt;&gt;""),1-AE491/AA491,"")</f>
        <v/>
      </c>
      <c r="AN491" s="21" t="str">
        <f aca="true">IF(AND(AC491&lt;&gt;"Sold",AC491&lt;&gt;"",Z491&lt;&gt;""),TODAY()-Z491,"")</f>
        <v/>
      </c>
      <c r="AO491" s="4"/>
      <c r="AP491" s="4"/>
    </row>
    <row r="492" customFormat="false" ht="1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14"/>
      <c r="O492" s="15"/>
      <c r="P492" s="16"/>
      <c r="Q492" s="4"/>
      <c r="R492" s="17"/>
      <c r="S492" s="18" t="str">
        <f aca="false">IF(OR(P492="",R492=""),"",P492*R492)</f>
        <v/>
      </c>
      <c r="T492" s="14"/>
      <c r="U492" s="14"/>
      <c r="V492" s="14"/>
      <c r="W492" s="14"/>
      <c r="X492" s="18" t="str">
        <f aca="false">IF(S492="","",S492+N(T492)+N(U492)+N(V492)+N(W492))</f>
        <v/>
      </c>
      <c r="Y492" s="4"/>
      <c r="Z492" s="15"/>
      <c r="AA492" s="14"/>
      <c r="AB492" s="19"/>
      <c r="AC492" s="4"/>
      <c r="AD492" s="15"/>
      <c r="AE492" s="14"/>
      <c r="AF492" s="14"/>
      <c r="AG492" s="14"/>
      <c r="AH492" s="18" t="str">
        <f aca="false">IF(AND(AC492="Sold",AE492&lt;&gt;"",AF492&lt;&gt;""),AE492-AF492,"")</f>
        <v/>
      </c>
      <c r="AI492" s="18" t="str">
        <f aca="false">IF(AND(AC492="Sold",AF492&lt;&gt;"",X492&lt;&gt;""),AF492-N(AG492)-X492,"")</f>
        <v/>
      </c>
      <c r="AJ492" s="20" t="str">
        <f aca="false">IF(AND(AI492&lt;&gt;"",N(AE492)&gt;0),AI492/AE492,"")</f>
        <v/>
      </c>
      <c r="AK492" s="20" t="str">
        <f aca="false">IF(AND(AI492&lt;&gt;"",N(X492)&gt;0),AI492/X492,"")</f>
        <v/>
      </c>
      <c r="AL492" s="21" t="str">
        <f aca="false">IF(AND(AC492="Sold",AD492&lt;&gt;"",Z492&lt;&gt;""),AD492-Z492,"")</f>
        <v/>
      </c>
      <c r="AM492" s="20" t="str">
        <f aca="false">IF(AND(AC492="Sold",N(AA492)&gt;0,AE492&lt;&gt;""),1-AE492/AA492,"")</f>
        <v/>
      </c>
      <c r="AN492" s="21" t="str">
        <f aca="true">IF(AND(AC492&lt;&gt;"Sold",AC492&lt;&gt;"",Z492&lt;&gt;""),TODAY()-Z492,"")</f>
        <v/>
      </c>
      <c r="AO492" s="4"/>
      <c r="AP492" s="4"/>
    </row>
    <row r="493" customFormat="false" ht="1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14"/>
      <c r="O493" s="15"/>
      <c r="P493" s="16"/>
      <c r="Q493" s="4"/>
      <c r="R493" s="17"/>
      <c r="S493" s="18" t="str">
        <f aca="false">IF(OR(P493="",R493=""),"",P493*R493)</f>
        <v/>
      </c>
      <c r="T493" s="14"/>
      <c r="U493" s="14"/>
      <c r="V493" s="14"/>
      <c r="W493" s="14"/>
      <c r="X493" s="18" t="str">
        <f aca="false">IF(S493="","",S493+N(T493)+N(U493)+N(V493)+N(W493))</f>
        <v/>
      </c>
      <c r="Y493" s="4"/>
      <c r="Z493" s="15"/>
      <c r="AA493" s="14"/>
      <c r="AB493" s="19"/>
      <c r="AC493" s="4"/>
      <c r="AD493" s="15"/>
      <c r="AE493" s="14"/>
      <c r="AF493" s="14"/>
      <c r="AG493" s="14"/>
      <c r="AH493" s="18" t="str">
        <f aca="false">IF(AND(AC493="Sold",AE493&lt;&gt;"",AF493&lt;&gt;""),AE493-AF493,"")</f>
        <v/>
      </c>
      <c r="AI493" s="18" t="str">
        <f aca="false">IF(AND(AC493="Sold",AF493&lt;&gt;"",X493&lt;&gt;""),AF493-N(AG493)-X493,"")</f>
        <v/>
      </c>
      <c r="AJ493" s="20" t="str">
        <f aca="false">IF(AND(AI493&lt;&gt;"",N(AE493)&gt;0),AI493/AE493,"")</f>
        <v/>
      </c>
      <c r="AK493" s="20" t="str">
        <f aca="false">IF(AND(AI493&lt;&gt;"",N(X493)&gt;0),AI493/X493,"")</f>
        <v/>
      </c>
      <c r="AL493" s="21" t="str">
        <f aca="false">IF(AND(AC493="Sold",AD493&lt;&gt;"",Z493&lt;&gt;""),AD493-Z493,"")</f>
        <v/>
      </c>
      <c r="AM493" s="20" t="str">
        <f aca="false">IF(AND(AC493="Sold",N(AA493)&gt;0,AE493&lt;&gt;""),1-AE493/AA493,"")</f>
        <v/>
      </c>
      <c r="AN493" s="21" t="str">
        <f aca="true">IF(AND(AC493&lt;&gt;"Sold",AC493&lt;&gt;"",Z493&lt;&gt;""),TODAY()-Z493,"")</f>
        <v/>
      </c>
      <c r="AO493" s="4"/>
      <c r="AP493" s="4"/>
    </row>
    <row r="494" customFormat="false" ht="1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14"/>
      <c r="O494" s="15"/>
      <c r="P494" s="16"/>
      <c r="Q494" s="4"/>
      <c r="R494" s="17"/>
      <c r="S494" s="18" t="str">
        <f aca="false">IF(OR(P494="",R494=""),"",P494*R494)</f>
        <v/>
      </c>
      <c r="T494" s="14"/>
      <c r="U494" s="14"/>
      <c r="V494" s="14"/>
      <c r="W494" s="14"/>
      <c r="X494" s="18" t="str">
        <f aca="false">IF(S494="","",S494+N(T494)+N(U494)+N(V494)+N(W494))</f>
        <v/>
      </c>
      <c r="Y494" s="4"/>
      <c r="Z494" s="15"/>
      <c r="AA494" s="14"/>
      <c r="AB494" s="19"/>
      <c r="AC494" s="4"/>
      <c r="AD494" s="15"/>
      <c r="AE494" s="14"/>
      <c r="AF494" s="14"/>
      <c r="AG494" s="14"/>
      <c r="AH494" s="18" t="str">
        <f aca="false">IF(AND(AC494="Sold",AE494&lt;&gt;"",AF494&lt;&gt;""),AE494-AF494,"")</f>
        <v/>
      </c>
      <c r="AI494" s="18" t="str">
        <f aca="false">IF(AND(AC494="Sold",AF494&lt;&gt;"",X494&lt;&gt;""),AF494-N(AG494)-X494,"")</f>
        <v/>
      </c>
      <c r="AJ494" s="20" t="str">
        <f aca="false">IF(AND(AI494&lt;&gt;"",N(AE494)&gt;0),AI494/AE494,"")</f>
        <v/>
      </c>
      <c r="AK494" s="20" t="str">
        <f aca="false">IF(AND(AI494&lt;&gt;"",N(X494)&gt;0),AI494/X494,"")</f>
        <v/>
      </c>
      <c r="AL494" s="21" t="str">
        <f aca="false">IF(AND(AC494="Sold",AD494&lt;&gt;"",Z494&lt;&gt;""),AD494-Z494,"")</f>
        <v/>
      </c>
      <c r="AM494" s="20" t="str">
        <f aca="false">IF(AND(AC494="Sold",N(AA494)&gt;0,AE494&lt;&gt;""),1-AE494/AA494,"")</f>
        <v/>
      </c>
      <c r="AN494" s="21" t="str">
        <f aca="true">IF(AND(AC494&lt;&gt;"Sold",AC494&lt;&gt;"",Z494&lt;&gt;""),TODAY()-Z494,"")</f>
        <v/>
      </c>
      <c r="AO494" s="4"/>
      <c r="AP494" s="4"/>
    </row>
    <row r="495" customFormat="false" ht="1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14"/>
      <c r="O495" s="15"/>
      <c r="P495" s="16"/>
      <c r="Q495" s="4"/>
      <c r="R495" s="17"/>
      <c r="S495" s="18" t="str">
        <f aca="false">IF(OR(P495="",R495=""),"",P495*R495)</f>
        <v/>
      </c>
      <c r="T495" s="14"/>
      <c r="U495" s="14"/>
      <c r="V495" s="14"/>
      <c r="W495" s="14"/>
      <c r="X495" s="18" t="str">
        <f aca="false">IF(S495="","",S495+N(T495)+N(U495)+N(V495)+N(W495))</f>
        <v/>
      </c>
      <c r="Y495" s="4"/>
      <c r="Z495" s="15"/>
      <c r="AA495" s="14"/>
      <c r="AB495" s="19"/>
      <c r="AC495" s="4"/>
      <c r="AD495" s="15"/>
      <c r="AE495" s="14"/>
      <c r="AF495" s="14"/>
      <c r="AG495" s="14"/>
      <c r="AH495" s="18" t="str">
        <f aca="false">IF(AND(AC495="Sold",AE495&lt;&gt;"",AF495&lt;&gt;""),AE495-AF495,"")</f>
        <v/>
      </c>
      <c r="AI495" s="18" t="str">
        <f aca="false">IF(AND(AC495="Sold",AF495&lt;&gt;"",X495&lt;&gt;""),AF495-N(AG495)-X495,"")</f>
        <v/>
      </c>
      <c r="AJ495" s="20" t="str">
        <f aca="false">IF(AND(AI495&lt;&gt;"",N(AE495)&gt;0),AI495/AE495,"")</f>
        <v/>
      </c>
      <c r="AK495" s="20" t="str">
        <f aca="false">IF(AND(AI495&lt;&gt;"",N(X495)&gt;0),AI495/X495,"")</f>
        <v/>
      </c>
      <c r="AL495" s="21" t="str">
        <f aca="false">IF(AND(AC495="Sold",AD495&lt;&gt;"",Z495&lt;&gt;""),AD495-Z495,"")</f>
        <v/>
      </c>
      <c r="AM495" s="20" t="str">
        <f aca="false">IF(AND(AC495="Sold",N(AA495)&gt;0,AE495&lt;&gt;""),1-AE495/AA495,"")</f>
        <v/>
      </c>
      <c r="AN495" s="21" t="str">
        <f aca="true">IF(AND(AC495&lt;&gt;"Sold",AC495&lt;&gt;"",Z495&lt;&gt;""),TODAY()-Z495,"")</f>
        <v/>
      </c>
      <c r="AO495" s="4"/>
      <c r="AP495" s="4"/>
    </row>
    <row r="496" customFormat="false" ht="1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14"/>
      <c r="O496" s="15"/>
      <c r="P496" s="16"/>
      <c r="Q496" s="4"/>
      <c r="R496" s="17"/>
      <c r="S496" s="18" t="str">
        <f aca="false">IF(OR(P496="",R496=""),"",P496*R496)</f>
        <v/>
      </c>
      <c r="T496" s="14"/>
      <c r="U496" s="14"/>
      <c r="V496" s="14"/>
      <c r="W496" s="14"/>
      <c r="X496" s="18" t="str">
        <f aca="false">IF(S496="","",S496+N(T496)+N(U496)+N(V496)+N(W496))</f>
        <v/>
      </c>
      <c r="Y496" s="4"/>
      <c r="Z496" s="15"/>
      <c r="AA496" s="14"/>
      <c r="AB496" s="19"/>
      <c r="AC496" s="4"/>
      <c r="AD496" s="15"/>
      <c r="AE496" s="14"/>
      <c r="AF496" s="14"/>
      <c r="AG496" s="14"/>
      <c r="AH496" s="18" t="str">
        <f aca="false">IF(AND(AC496="Sold",AE496&lt;&gt;"",AF496&lt;&gt;""),AE496-AF496,"")</f>
        <v/>
      </c>
      <c r="AI496" s="18" t="str">
        <f aca="false">IF(AND(AC496="Sold",AF496&lt;&gt;"",X496&lt;&gt;""),AF496-N(AG496)-X496,"")</f>
        <v/>
      </c>
      <c r="AJ496" s="20" t="str">
        <f aca="false">IF(AND(AI496&lt;&gt;"",N(AE496)&gt;0),AI496/AE496,"")</f>
        <v/>
      </c>
      <c r="AK496" s="20" t="str">
        <f aca="false">IF(AND(AI496&lt;&gt;"",N(X496)&gt;0),AI496/X496,"")</f>
        <v/>
      </c>
      <c r="AL496" s="21" t="str">
        <f aca="false">IF(AND(AC496="Sold",AD496&lt;&gt;"",Z496&lt;&gt;""),AD496-Z496,"")</f>
        <v/>
      </c>
      <c r="AM496" s="20" t="str">
        <f aca="false">IF(AND(AC496="Sold",N(AA496)&gt;0,AE496&lt;&gt;""),1-AE496/AA496,"")</f>
        <v/>
      </c>
      <c r="AN496" s="21" t="str">
        <f aca="true">IF(AND(AC496&lt;&gt;"Sold",AC496&lt;&gt;"",Z496&lt;&gt;""),TODAY()-Z496,"")</f>
        <v/>
      </c>
      <c r="AO496" s="4"/>
      <c r="AP496" s="4"/>
    </row>
    <row r="497" customFormat="false" ht="1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14"/>
      <c r="O497" s="15"/>
      <c r="P497" s="16"/>
      <c r="Q497" s="4"/>
      <c r="R497" s="17"/>
      <c r="S497" s="18" t="str">
        <f aca="false">IF(OR(P497="",R497=""),"",P497*R497)</f>
        <v/>
      </c>
      <c r="T497" s="14"/>
      <c r="U497" s="14"/>
      <c r="V497" s="14"/>
      <c r="W497" s="14"/>
      <c r="X497" s="18" t="str">
        <f aca="false">IF(S497="","",S497+N(T497)+N(U497)+N(V497)+N(W497))</f>
        <v/>
      </c>
      <c r="Y497" s="4"/>
      <c r="Z497" s="15"/>
      <c r="AA497" s="14"/>
      <c r="AB497" s="19"/>
      <c r="AC497" s="4"/>
      <c r="AD497" s="15"/>
      <c r="AE497" s="14"/>
      <c r="AF497" s="14"/>
      <c r="AG497" s="14"/>
      <c r="AH497" s="18" t="str">
        <f aca="false">IF(AND(AC497="Sold",AE497&lt;&gt;"",AF497&lt;&gt;""),AE497-AF497,"")</f>
        <v/>
      </c>
      <c r="AI497" s="18" t="str">
        <f aca="false">IF(AND(AC497="Sold",AF497&lt;&gt;"",X497&lt;&gt;""),AF497-N(AG497)-X497,"")</f>
        <v/>
      </c>
      <c r="AJ497" s="20" t="str">
        <f aca="false">IF(AND(AI497&lt;&gt;"",N(AE497)&gt;0),AI497/AE497,"")</f>
        <v/>
      </c>
      <c r="AK497" s="20" t="str">
        <f aca="false">IF(AND(AI497&lt;&gt;"",N(X497)&gt;0),AI497/X497,"")</f>
        <v/>
      </c>
      <c r="AL497" s="21" t="str">
        <f aca="false">IF(AND(AC497="Sold",AD497&lt;&gt;"",Z497&lt;&gt;""),AD497-Z497,"")</f>
        <v/>
      </c>
      <c r="AM497" s="20" t="str">
        <f aca="false">IF(AND(AC497="Sold",N(AA497)&gt;0,AE497&lt;&gt;""),1-AE497/AA497,"")</f>
        <v/>
      </c>
      <c r="AN497" s="21" t="str">
        <f aca="true">IF(AND(AC497&lt;&gt;"Sold",AC497&lt;&gt;"",Z497&lt;&gt;""),TODAY()-Z497,"")</f>
        <v/>
      </c>
      <c r="AO497" s="4"/>
      <c r="AP497" s="4"/>
    </row>
    <row r="498" customFormat="false" ht="1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14"/>
      <c r="O498" s="15"/>
      <c r="P498" s="16"/>
      <c r="Q498" s="4"/>
      <c r="R498" s="17"/>
      <c r="S498" s="18" t="str">
        <f aca="false">IF(OR(P498="",R498=""),"",P498*R498)</f>
        <v/>
      </c>
      <c r="T498" s="14"/>
      <c r="U498" s="14"/>
      <c r="V498" s="14"/>
      <c r="W498" s="14"/>
      <c r="X498" s="18" t="str">
        <f aca="false">IF(S498="","",S498+N(T498)+N(U498)+N(V498)+N(W498))</f>
        <v/>
      </c>
      <c r="Y498" s="4"/>
      <c r="Z498" s="15"/>
      <c r="AA498" s="14"/>
      <c r="AB498" s="19"/>
      <c r="AC498" s="4"/>
      <c r="AD498" s="15"/>
      <c r="AE498" s="14"/>
      <c r="AF498" s="14"/>
      <c r="AG498" s="14"/>
      <c r="AH498" s="18" t="str">
        <f aca="false">IF(AND(AC498="Sold",AE498&lt;&gt;"",AF498&lt;&gt;""),AE498-AF498,"")</f>
        <v/>
      </c>
      <c r="AI498" s="18" t="str">
        <f aca="false">IF(AND(AC498="Sold",AF498&lt;&gt;"",X498&lt;&gt;""),AF498-N(AG498)-X498,"")</f>
        <v/>
      </c>
      <c r="AJ498" s="20" t="str">
        <f aca="false">IF(AND(AI498&lt;&gt;"",N(AE498)&gt;0),AI498/AE498,"")</f>
        <v/>
      </c>
      <c r="AK498" s="20" t="str">
        <f aca="false">IF(AND(AI498&lt;&gt;"",N(X498)&gt;0),AI498/X498,"")</f>
        <v/>
      </c>
      <c r="AL498" s="21" t="str">
        <f aca="false">IF(AND(AC498="Sold",AD498&lt;&gt;"",Z498&lt;&gt;""),AD498-Z498,"")</f>
        <v/>
      </c>
      <c r="AM498" s="20" t="str">
        <f aca="false">IF(AND(AC498="Sold",N(AA498)&gt;0,AE498&lt;&gt;""),1-AE498/AA498,"")</f>
        <v/>
      </c>
      <c r="AN498" s="21" t="str">
        <f aca="true">IF(AND(AC498&lt;&gt;"Sold",AC498&lt;&gt;"",Z498&lt;&gt;""),TODAY()-Z498,"")</f>
        <v/>
      </c>
      <c r="AO498" s="4"/>
      <c r="AP498" s="4"/>
    </row>
    <row r="499" customFormat="false" ht="1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14"/>
      <c r="O499" s="15"/>
      <c r="P499" s="16"/>
      <c r="Q499" s="4"/>
      <c r="R499" s="17"/>
      <c r="S499" s="18" t="str">
        <f aca="false">IF(OR(P499="",R499=""),"",P499*R499)</f>
        <v/>
      </c>
      <c r="T499" s="14"/>
      <c r="U499" s="14"/>
      <c r="V499" s="14"/>
      <c r="W499" s="14"/>
      <c r="X499" s="18" t="str">
        <f aca="false">IF(S499="","",S499+N(T499)+N(U499)+N(V499)+N(W499))</f>
        <v/>
      </c>
      <c r="Y499" s="4"/>
      <c r="Z499" s="15"/>
      <c r="AA499" s="14"/>
      <c r="AB499" s="19"/>
      <c r="AC499" s="4"/>
      <c r="AD499" s="15"/>
      <c r="AE499" s="14"/>
      <c r="AF499" s="14"/>
      <c r="AG499" s="14"/>
      <c r="AH499" s="18" t="str">
        <f aca="false">IF(AND(AC499="Sold",AE499&lt;&gt;"",AF499&lt;&gt;""),AE499-AF499,"")</f>
        <v/>
      </c>
      <c r="AI499" s="18" t="str">
        <f aca="false">IF(AND(AC499="Sold",AF499&lt;&gt;"",X499&lt;&gt;""),AF499-N(AG499)-X499,"")</f>
        <v/>
      </c>
      <c r="AJ499" s="20" t="str">
        <f aca="false">IF(AND(AI499&lt;&gt;"",N(AE499)&gt;0),AI499/AE499,"")</f>
        <v/>
      </c>
      <c r="AK499" s="20" t="str">
        <f aca="false">IF(AND(AI499&lt;&gt;"",N(X499)&gt;0),AI499/X499,"")</f>
        <v/>
      </c>
      <c r="AL499" s="21" t="str">
        <f aca="false">IF(AND(AC499="Sold",AD499&lt;&gt;"",Z499&lt;&gt;""),AD499-Z499,"")</f>
        <v/>
      </c>
      <c r="AM499" s="20" t="str">
        <f aca="false">IF(AND(AC499="Sold",N(AA499)&gt;0,AE499&lt;&gt;""),1-AE499/AA499,"")</f>
        <v/>
      </c>
      <c r="AN499" s="21" t="str">
        <f aca="true">IF(AND(AC499&lt;&gt;"Sold",AC499&lt;&gt;"",Z499&lt;&gt;""),TODAY()-Z499,"")</f>
        <v/>
      </c>
      <c r="AO499" s="4"/>
      <c r="AP499" s="4"/>
    </row>
    <row r="500" customFormat="false" ht="1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14"/>
      <c r="O500" s="15"/>
      <c r="P500" s="16"/>
      <c r="Q500" s="4"/>
      <c r="R500" s="17"/>
      <c r="S500" s="18" t="str">
        <f aca="false">IF(OR(P500="",R500=""),"",P500*R500)</f>
        <v/>
      </c>
      <c r="T500" s="14"/>
      <c r="U500" s="14"/>
      <c r="V500" s="14"/>
      <c r="W500" s="14"/>
      <c r="X500" s="18" t="str">
        <f aca="false">IF(S500="","",S500+N(T500)+N(U500)+N(V500)+N(W500))</f>
        <v/>
      </c>
      <c r="Y500" s="4"/>
      <c r="Z500" s="15"/>
      <c r="AA500" s="14"/>
      <c r="AB500" s="19"/>
      <c r="AC500" s="4"/>
      <c r="AD500" s="15"/>
      <c r="AE500" s="14"/>
      <c r="AF500" s="14"/>
      <c r="AG500" s="14"/>
      <c r="AH500" s="18" t="str">
        <f aca="false">IF(AND(AC500="Sold",AE500&lt;&gt;"",AF500&lt;&gt;""),AE500-AF500,"")</f>
        <v/>
      </c>
      <c r="AI500" s="18" t="str">
        <f aca="false">IF(AND(AC500="Sold",AF500&lt;&gt;"",X500&lt;&gt;""),AF500-N(AG500)-X500,"")</f>
        <v/>
      </c>
      <c r="AJ500" s="20" t="str">
        <f aca="false">IF(AND(AI500&lt;&gt;"",N(AE500)&gt;0),AI500/AE500,"")</f>
        <v/>
      </c>
      <c r="AK500" s="20" t="str">
        <f aca="false">IF(AND(AI500&lt;&gt;"",N(X500)&gt;0),AI500/X500,"")</f>
        <v/>
      </c>
      <c r="AL500" s="21" t="str">
        <f aca="false">IF(AND(AC500="Sold",AD500&lt;&gt;"",Z500&lt;&gt;""),AD500-Z500,"")</f>
        <v/>
      </c>
      <c r="AM500" s="20" t="str">
        <f aca="false">IF(AND(AC500="Sold",N(AA500)&gt;0,AE500&lt;&gt;""),1-AE500/AA500,"")</f>
        <v/>
      </c>
      <c r="AN500" s="21" t="str">
        <f aca="true">IF(AND(AC500&lt;&gt;"Sold",AC500&lt;&gt;"",Z500&lt;&gt;""),TODAY()-Z500,"")</f>
        <v/>
      </c>
      <c r="AO500" s="4"/>
      <c r="AP500" s="4"/>
    </row>
    <row r="501" customFormat="false" ht="1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14"/>
      <c r="O501" s="15"/>
      <c r="P501" s="16"/>
      <c r="Q501" s="4"/>
      <c r="R501" s="17"/>
      <c r="S501" s="18" t="str">
        <f aca="false">IF(OR(P501="",R501=""),"",P501*R501)</f>
        <v/>
      </c>
      <c r="T501" s="14"/>
      <c r="U501" s="14"/>
      <c r="V501" s="14"/>
      <c r="W501" s="14"/>
      <c r="X501" s="18" t="str">
        <f aca="false">IF(S501="","",S501+N(T501)+N(U501)+N(V501)+N(W501))</f>
        <v/>
      </c>
      <c r="Y501" s="4"/>
      <c r="Z501" s="15"/>
      <c r="AA501" s="14"/>
      <c r="AB501" s="19"/>
      <c r="AC501" s="4"/>
      <c r="AD501" s="15"/>
      <c r="AE501" s="14"/>
      <c r="AF501" s="14"/>
      <c r="AG501" s="14"/>
      <c r="AH501" s="18" t="str">
        <f aca="false">IF(AND(AC501="Sold",AE501&lt;&gt;"",AF501&lt;&gt;""),AE501-AF501,"")</f>
        <v/>
      </c>
      <c r="AI501" s="18" t="str">
        <f aca="false">IF(AND(AC501="Sold",AF501&lt;&gt;"",X501&lt;&gt;""),AF501-N(AG501)-X501,"")</f>
        <v/>
      </c>
      <c r="AJ501" s="20" t="str">
        <f aca="false">IF(AND(AI501&lt;&gt;"",N(AE501)&gt;0),AI501/AE501,"")</f>
        <v/>
      </c>
      <c r="AK501" s="20" t="str">
        <f aca="false">IF(AND(AI501&lt;&gt;"",N(X501)&gt;0),AI501/X501,"")</f>
        <v/>
      </c>
      <c r="AL501" s="21" t="str">
        <f aca="false">IF(AND(AC501="Sold",AD501&lt;&gt;"",Z501&lt;&gt;""),AD501-Z501,"")</f>
        <v/>
      </c>
      <c r="AM501" s="20" t="str">
        <f aca="false">IF(AND(AC501="Sold",N(AA501)&gt;0,AE501&lt;&gt;""),1-AE501/AA501,"")</f>
        <v/>
      </c>
      <c r="AN501" s="21" t="str">
        <f aca="true">IF(AND(AC501&lt;&gt;"Sold",AC501&lt;&gt;"",Z501&lt;&gt;""),TODAY()-Z501,"")</f>
        <v/>
      </c>
      <c r="AO501" s="4"/>
      <c r="AP501" s="4"/>
    </row>
    <row r="502" customFormat="false" ht="1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14"/>
      <c r="O502" s="15"/>
      <c r="P502" s="16"/>
      <c r="Q502" s="4"/>
      <c r="R502" s="17"/>
      <c r="S502" s="18" t="str">
        <f aca="false">IF(OR(P502="",R502=""),"",P502*R502)</f>
        <v/>
      </c>
      <c r="T502" s="14"/>
      <c r="U502" s="14"/>
      <c r="V502" s="14"/>
      <c r="W502" s="14"/>
      <c r="X502" s="18" t="str">
        <f aca="false">IF(S502="","",S502+N(T502)+N(U502)+N(V502)+N(W502))</f>
        <v/>
      </c>
      <c r="Y502" s="4"/>
      <c r="Z502" s="15"/>
      <c r="AA502" s="14"/>
      <c r="AB502" s="19"/>
      <c r="AC502" s="4"/>
      <c r="AD502" s="15"/>
      <c r="AE502" s="14"/>
      <c r="AF502" s="14"/>
      <c r="AG502" s="14"/>
      <c r="AH502" s="18" t="str">
        <f aca="false">IF(AND(AC502="Sold",AE502&lt;&gt;"",AF502&lt;&gt;""),AE502-AF502,"")</f>
        <v/>
      </c>
      <c r="AI502" s="18" t="str">
        <f aca="false">IF(AND(AC502="Sold",AF502&lt;&gt;"",X502&lt;&gt;""),AF502-N(AG502)-X502,"")</f>
        <v/>
      </c>
      <c r="AJ502" s="20" t="str">
        <f aca="false">IF(AND(AI502&lt;&gt;"",N(AE502)&gt;0),AI502/AE502,"")</f>
        <v/>
      </c>
      <c r="AK502" s="20" t="str">
        <f aca="false">IF(AND(AI502&lt;&gt;"",N(X502)&gt;0),AI502/X502,"")</f>
        <v/>
      </c>
      <c r="AL502" s="21" t="str">
        <f aca="false">IF(AND(AC502="Sold",AD502&lt;&gt;"",Z502&lt;&gt;""),AD502-Z502,"")</f>
        <v/>
      </c>
      <c r="AM502" s="20" t="str">
        <f aca="false">IF(AND(AC502="Sold",N(AA502)&gt;0,AE502&lt;&gt;""),1-AE502/AA502,"")</f>
        <v/>
      </c>
      <c r="AN502" s="21" t="str">
        <f aca="true">IF(AND(AC502&lt;&gt;"Sold",AC502&lt;&gt;"",Z502&lt;&gt;""),TODAY()-Z502,"")</f>
        <v/>
      </c>
      <c r="AO502" s="4"/>
      <c r="AP502" s="4"/>
    </row>
    <row r="503" customFormat="false" ht="1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14"/>
      <c r="O503" s="15"/>
      <c r="P503" s="16"/>
      <c r="Q503" s="4"/>
      <c r="R503" s="17"/>
      <c r="S503" s="18" t="str">
        <f aca="false">IF(OR(P503="",R503=""),"",P503*R503)</f>
        <v/>
      </c>
      <c r="T503" s="14"/>
      <c r="U503" s="14"/>
      <c r="V503" s="14"/>
      <c r="W503" s="14"/>
      <c r="X503" s="18" t="str">
        <f aca="false">IF(S503="","",S503+N(T503)+N(U503)+N(V503)+N(W503))</f>
        <v/>
      </c>
      <c r="Y503" s="4"/>
      <c r="Z503" s="15"/>
      <c r="AA503" s="14"/>
      <c r="AB503" s="19"/>
      <c r="AC503" s="4"/>
      <c r="AD503" s="15"/>
      <c r="AE503" s="14"/>
      <c r="AF503" s="14"/>
      <c r="AG503" s="14"/>
      <c r="AH503" s="18" t="str">
        <f aca="false">IF(AND(AC503="Sold",AE503&lt;&gt;"",AF503&lt;&gt;""),AE503-AF503,"")</f>
        <v/>
      </c>
      <c r="AI503" s="18" t="str">
        <f aca="false">IF(AND(AC503="Sold",AF503&lt;&gt;"",X503&lt;&gt;""),AF503-N(AG503)-X503,"")</f>
        <v/>
      </c>
      <c r="AJ503" s="20" t="str">
        <f aca="false">IF(AND(AI503&lt;&gt;"",N(AE503)&gt;0),AI503/AE503,"")</f>
        <v/>
      </c>
      <c r="AK503" s="20" t="str">
        <f aca="false">IF(AND(AI503&lt;&gt;"",N(X503)&gt;0),AI503/X503,"")</f>
        <v/>
      </c>
      <c r="AL503" s="21" t="str">
        <f aca="false">IF(AND(AC503="Sold",AD503&lt;&gt;"",Z503&lt;&gt;""),AD503-Z503,"")</f>
        <v/>
      </c>
      <c r="AM503" s="20" t="str">
        <f aca="false">IF(AND(AC503="Sold",N(AA503)&gt;0,AE503&lt;&gt;""),1-AE503/AA503,"")</f>
        <v/>
      </c>
      <c r="AN503" s="21" t="str">
        <f aca="true">IF(AND(AC503&lt;&gt;"Sold",AC503&lt;&gt;"",Z503&lt;&gt;""),TODAY()-Z503,"")</f>
        <v/>
      </c>
      <c r="AO503" s="4"/>
      <c r="AP503" s="4"/>
    </row>
  </sheetData>
  <autoFilter ref="A2:AP503"/>
  <mergeCells count="6">
    <mergeCell ref="A1:J1"/>
    <mergeCell ref="K1:X1"/>
    <mergeCell ref="Y1:AC1"/>
    <mergeCell ref="AD1:AG1"/>
    <mergeCell ref="AH1:AN1"/>
    <mergeCell ref="AO1:AP1"/>
  </mergeCells>
  <dataValidations count="11">
    <dataValidation allowBlank="true" error="Please pick from the list (or add to the Lists tab)" errorStyle="stop" operator="between" showDropDown="false" showErrorMessage="false" showInputMessage="false" sqref="B3:B503" type="list">
      <formula1>Lists!$A$2:$A$23</formula1>
      <formula2>0</formula2>
    </dataValidation>
    <dataValidation allowBlank="true" error="Please pick from the list (or add to the Lists tab)" errorStyle="stop" operator="between" showDropDown="false" showErrorMessage="false" showInputMessage="false" sqref="H3:H503" type="list">
      <formula1>Lists!$B$2:$B$7</formula1>
      <formula2>0</formula2>
    </dataValidation>
    <dataValidation allowBlank="true" error="Please pick from the list (or add to the Lists tab)" errorStyle="stop" operator="between" showDropDown="false" showErrorMessage="false" showInputMessage="false" sqref="J3:J503" type="list">
      <formula1>Lists!$C$2:$C$5</formula1>
      <formula2>0</formula2>
    </dataValidation>
    <dataValidation allowBlank="true" error="Please pick from the list (or add to the Lists tab)" errorStyle="stop" operator="between" showDropDown="false" showErrorMessage="false" showInputMessage="false" sqref="Q3:Q503" type="list">
      <formula1>Lists!$D$2:$D$8</formula1>
      <formula2>0</formula2>
    </dataValidation>
    <dataValidation allowBlank="true" error="Please pick from the list (or add to the Lists tab)" errorStyle="stop" operator="between" showDropDown="false" showErrorMessage="false" showInputMessage="false" sqref="L3:L503" type="list">
      <formula1>Lists!$H$2:$H$4</formula1>
      <formula2>0</formula2>
    </dataValidation>
    <dataValidation allowBlank="true" error="Please pick from the list (or add to the Lists tab)" errorStyle="stop" operator="between" showDropDown="false" showErrorMessage="false" showInputMessage="false" sqref="Y3:Y503" type="list">
      <formula1>Lists!$E$2:$E$9</formula1>
      <formula2>0</formula2>
    </dataValidation>
    <dataValidation allowBlank="true" error="Please pick from the list (or add to the Lists tab)" errorStyle="stop" operator="between" showDropDown="false" showErrorMessage="false" showInputMessage="false" sqref="AC3:AC503" type="list">
      <formula1>Lists!$F$2:$F$6</formula1>
      <formula2>0</formula2>
    </dataValidation>
    <dataValidation allowBlank="true" error="Please pick from the list (or add to the Lists tab)" errorStyle="stop" operator="between" showDropDown="false" showErrorMessage="false" showInputMessage="false" sqref="AO3:AO503" type="list">
      <formula1>Lists!$G$2:$G$4</formula1>
      <formula2>0</formula2>
    </dataValidation>
    <dataValidation allowBlank="true" error="Enter a date, e.g. 14/03/2026" errorStyle="stop" operator="greaterThan" showDropDown="false" showErrorMessage="true" showInputMessage="false" sqref="O3:O503" type="date">
      <formula1>DATE(2015,1,1)</formula1>
      <formula2>0</formula2>
    </dataValidation>
    <dataValidation allowBlank="true" error="Enter a date, e.g. 14/03/2026" errorStyle="stop" operator="greaterThan" showDropDown="false" showErrorMessage="true" showInputMessage="false" sqref="Z3:Z503" type="date">
      <formula1>DATE(2015,1,1)</formula1>
      <formula2>0</formula2>
    </dataValidation>
    <dataValidation allowBlank="true" error="Enter a date, e.g. 14/03/2026" errorStyle="stop" operator="greaterThan" showDropDown="false" showErrorMessage="true" showInputMessage="false" sqref="AD3:AD503" type="date">
      <formula1>DATE(2015,1,1)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0" min="2" style="1" width="14"/>
  </cols>
  <sheetData>
    <row r="1" customFormat="false" ht="17.25" hidden="false" customHeight="true" outlineLevel="0" collapsed="false">
      <c r="A1" s="3" t="s">
        <v>285</v>
      </c>
    </row>
    <row r="2" customFormat="false" ht="15" hidden="false" customHeight="true" outlineLevel="0" collapsed="false">
      <c r="A2" s="22" t="s">
        <v>286</v>
      </c>
    </row>
    <row r="4" customFormat="false" ht="15" hidden="false" customHeight="true" outlineLevel="0" collapsed="false">
      <c r="A4" s="4" t="s">
        <v>287</v>
      </c>
      <c r="B4" s="23" t="n">
        <f aca="false">COUNTA(Bags!$B$3:$B$503)</f>
        <v>62</v>
      </c>
    </row>
    <row r="5" customFormat="false" ht="15" hidden="false" customHeight="true" outlineLevel="0" collapsed="false">
      <c r="A5" s="4" t="s">
        <v>288</v>
      </c>
      <c r="B5" s="23" t="n">
        <f aca="false">COUNTIF(Bags!$AC$3:$AC$503,"Sold")</f>
        <v>58</v>
      </c>
    </row>
    <row r="6" customFormat="false" ht="15" hidden="false" customHeight="true" outlineLevel="0" collapsed="false">
      <c r="A6" s="4" t="s">
        <v>289</v>
      </c>
      <c r="B6" s="24" t="n">
        <f aca="false">IFERROR(B5/B4,0)</f>
        <v>0.935483870967742</v>
      </c>
    </row>
    <row r="7" customFormat="false" ht="15" hidden="false" customHeight="true" outlineLevel="0" collapsed="false">
      <c r="A7" s="4" t="s">
        <v>290</v>
      </c>
      <c r="B7" s="25" t="n">
        <f aca="false">SUMIFS(Bags!$AE$3:$AE$503,Bags!$AC$3:$AC$503,"Sold")</f>
        <v>11173</v>
      </c>
    </row>
    <row r="8" customFormat="false" ht="15" hidden="false" customHeight="true" outlineLevel="0" collapsed="false">
      <c r="A8" s="4" t="s">
        <v>291</v>
      </c>
      <c r="B8" s="26" t="n">
        <f aca="false">SUM(Bags!$AI$3:$AI$503)</f>
        <v>4922</v>
      </c>
    </row>
    <row r="9" customFormat="false" ht="15" hidden="false" customHeight="true" outlineLevel="0" collapsed="false">
      <c r="A9" s="4" t="s">
        <v>292</v>
      </c>
      <c r="B9" s="24" t="n">
        <f aca="false">IFERROR(B8/B7,0)</f>
        <v>0.440526268683433</v>
      </c>
    </row>
    <row r="10" customFormat="false" ht="15" hidden="false" customHeight="true" outlineLevel="0" collapsed="false">
      <c r="A10" s="4" t="s">
        <v>293</v>
      </c>
      <c r="B10" s="23" t="n">
        <f aca="false">IFERROR(AVERAGE(Bags!$AL$3:$AL$503),0)</f>
        <v>0</v>
      </c>
    </row>
    <row r="11" customFormat="false" ht="15" hidden="false" customHeight="true" outlineLevel="0" collapsed="false">
      <c r="A11" s="4" t="s">
        <v>294</v>
      </c>
      <c r="B11" s="25" t="n">
        <f aca="false">SUMIFS(Bags!$X$3:$X$503,Bags!$AC$3:$AC$503,"&lt;&gt;Sold")</f>
        <v>255</v>
      </c>
    </row>
    <row r="12" customFormat="false" ht="15" hidden="false" customHeight="true" outlineLevel="0" collapsed="false">
      <c r="A12" s="4" t="s">
        <v>295</v>
      </c>
      <c r="B12" s="23" t="n">
        <f aca="false">COUNTIF(Bags!$AO$3:$AO$503,"Estimated")+COUNTIF(Bags!$AO$3:$AO$503,"Unknown")</f>
        <v>32</v>
      </c>
    </row>
    <row r="15" customFormat="false" ht="15" hidden="false" customHeight="true" outlineLevel="0" collapsed="false">
      <c r="A15" s="27" t="s">
        <v>296</v>
      </c>
    </row>
    <row r="16" customFormat="false" ht="31.5" hidden="false" customHeight="true" outlineLevel="0" collapsed="false">
      <c r="A16" s="28" t="s">
        <v>37</v>
      </c>
      <c r="B16" s="29" t="s">
        <v>287</v>
      </c>
      <c r="C16" s="29" t="s">
        <v>79</v>
      </c>
      <c r="D16" s="29" t="s">
        <v>289</v>
      </c>
      <c r="E16" s="29" t="s">
        <v>297</v>
      </c>
      <c r="F16" s="29" t="s">
        <v>60</v>
      </c>
      <c r="G16" s="29" t="s">
        <v>61</v>
      </c>
      <c r="H16" s="29" t="s">
        <v>298</v>
      </c>
      <c r="I16" s="29" t="s">
        <v>299</v>
      </c>
      <c r="J16" s="29" t="s">
        <v>294</v>
      </c>
    </row>
    <row r="17" customFormat="false" ht="15" hidden="false" customHeight="true" outlineLevel="0" collapsed="false">
      <c r="A17" s="4" t="s">
        <v>75</v>
      </c>
      <c r="B17" s="19" t="n">
        <f aca="false">COUNTIF(Bags!$L$3:$L$503,$A17)</f>
        <v>49</v>
      </c>
      <c r="C17" s="19" t="n">
        <f aca="false">COUNTIFS(Bags!$L$3:$L$503,$A17,Bags!$AC$3:$AC$503,"Sold")</f>
        <v>45</v>
      </c>
      <c r="D17" s="30" t="n">
        <f aca="false">IFERROR(C17/B17,0)</f>
        <v>0.918367346938776</v>
      </c>
      <c r="E17" s="31" t="n">
        <f aca="false">SUMIFS(Bags!$AE$3:$AE$503,Bags!$L$3:$L$503,$A17,Bags!$AC$3:$AC$503,"Sold")</f>
        <v>9516</v>
      </c>
      <c r="F17" s="32" t="n">
        <f aca="false">SUMIFS(Bags!$AI$3:$AI$503,Bags!$L$3:$L$503,$A17)</f>
        <v>4091</v>
      </c>
      <c r="G17" s="30" t="n">
        <f aca="false">IFERROR(F17/E17,0)</f>
        <v>0.429907524169819</v>
      </c>
      <c r="H17" s="19" t="n">
        <f aca="false">IFERROR(AVERAGEIFS(Bags!$AL$3:$AL$503,Bags!$L$3:$L$503,$A17,Bags!$AC$3:$AC$503,"Sold"),0)</f>
        <v>0</v>
      </c>
      <c r="I17" s="30" t="n">
        <f aca="false">IFERROR(AVERAGEIFS(Bags!$AM$3:$AM$503,Bags!$L$3:$L$503,$A17,Bags!$AC$3:$AC$503,"Sold"),0)</f>
        <v>0.134823854803351</v>
      </c>
      <c r="J17" s="31" t="n">
        <f aca="false">SUMIFS(Bags!$X$3:$X$503,Bags!$L$3:$L$503,$A17,Bags!$AC$3:$AC$503,"&lt;&gt;Sold")</f>
        <v>255</v>
      </c>
    </row>
    <row r="18" customFormat="false" ht="15" hidden="false" customHeight="true" outlineLevel="0" collapsed="false">
      <c r="A18" s="4" t="s">
        <v>123</v>
      </c>
      <c r="B18" s="19" t="n">
        <f aca="false">COUNTIF(Bags!$L$3:$L$503,$A18)</f>
        <v>1</v>
      </c>
      <c r="C18" s="19" t="n">
        <f aca="false">COUNTIFS(Bags!$L$3:$L$503,$A18,Bags!$AC$3:$AC$503,"Sold")</f>
        <v>1</v>
      </c>
      <c r="D18" s="30" t="n">
        <f aca="false">IFERROR(C18/B18,0)</f>
        <v>1</v>
      </c>
      <c r="E18" s="31" t="n">
        <f aca="false">SUMIFS(Bags!$AE$3:$AE$503,Bags!$L$3:$L$503,$A18,Bags!$AC$3:$AC$503,"Sold")</f>
        <v>614</v>
      </c>
      <c r="F18" s="32" t="n">
        <f aca="false">SUMIFS(Bags!$AI$3:$AI$503,Bags!$L$3:$L$503,$A18)</f>
        <v>204</v>
      </c>
      <c r="G18" s="30" t="n">
        <f aca="false">IFERROR(F18/E18,0)</f>
        <v>0.332247557003257</v>
      </c>
      <c r="H18" s="19" t="n">
        <f aca="false">IFERROR(AVERAGEIFS(Bags!$AL$3:$AL$503,Bags!$L$3:$L$503,$A18,Bags!$AC$3:$AC$503,"Sold"),0)</f>
        <v>0</v>
      </c>
      <c r="I18" s="30" t="n">
        <f aca="false">IFERROR(AVERAGEIFS(Bags!$AM$3:$AM$503,Bags!$L$3:$L$503,$A18,Bags!$AC$3:$AC$503,"Sold"),0)</f>
        <v>0.500406834825061</v>
      </c>
      <c r="J18" s="31" t="n">
        <f aca="false">SUMIFS(Bags!$X$3:$X$503,Bags!$L$3:$L$503,$A18,Bags!$AC$3:$AC$503,"&lt;&gt;Sold")</f>
        <v>0</v>
      </c>
    </row>
    <row r="19" customFormat="false" ht="15" hidden="false" customHeight="true" outlineLevel="0" collapsed="false">
      <c r="A19" s="4" t="s">
        <v>254</v>
      </c>
      <c r="B19" s="19" t="n">
        <f aca="false">COUNTIF(Bags!$L$3:$L$503,$A19)</f>
        <v>12</v>
      </c>
      <c r="C19" s="19" t="n">
        <f aca="false">COUNTIFS(Bags!$L$3:$L$503,$A19,Bags!$AC$3:$AC$503,"Sold")</f>
        <v>12</v>
      </c>
      <c r="D19" s="30" t="n">
        <f aca="false">IFERROR(C19/B19,0)</f>
        <v>1</v>
      </c>
      <c r="E19" s="31" t="n">
        <f aca="false">SUMIFS(Bags!$AE$3:$AE$503,Bags!$L$3:$L$503,$A19,Bags!$AC$3:$AC$503,"Sold")</f>
        <v>1043</v>
      </c>
      <c r="F19" s="32" t="n">
        <f aca="false">SUMIFS(Bags!$AI$3:$AI$503,Bags!$L$3:$L$503,$A19)</f>
        <v>627</v>
      </c>
      <c r="G19" s="30" t="n">
        <f aca="false">IFERROR(F19/E19,0)</f>
        <v>0.601150527325024</v>
      </c>
      <c r="H19" s="19" t="n">
        <f aca="false">IFERROR(AVERAGEIFS(Bags!$AL$3:$AL$503,Bags!$L$3:$L$503,$A19,Bags!$AC$3:$AC$503,"Sold"),0)</f>
        <v>0</v>
      </c>
      <c r="I19" s="30" t="n">
        <f aca="false">IFERROR(AVERAGEIFS(Bags!$AM$3:$AM$503,Bags!$L$3:$L$503,$A19,Bags!$AC$3:$AC$503,"Sold"),0)</f>
        <v>0</v>
      </c>
      <c r="J19" s="31" t="n">
        <f aca="false">SUMIFS(Bags!$X$3:$X$503,Bags!$L$3:$L$503,$A19,Bags!$AC$3:$AC$503,"&lt;&gt;Sold")</f>
        <v>0</v>
      </c>
    </row>
    <row r="22" customFormat="false" ht="15" hidden="false" customHeight="true" outlineLevel="0" collapsed="false">
      <c r="A22" s="27" t="s">
        <v>300</v>
      </c>
    </row>
    <row r="23" customFormat="false" ht="31.5" hidden="false" customHeight="true" outlineLevel="0" collapsed="false">
      <c r="A23" s="28" t="s">
        <v>27</v>
      </c>
      <c r="B23" s="29" t="s">
        <v>287</v>
      </c>
      <c r="C23" s="29" t="s">
        <v>79</v>
      </c>
      <c r="D23" s="29" t="s">
        <v>289</v>
      </c>
      <c r="E23" s="29" t="s">
        <v>297</v>
      </c>
      <c r="F23" s="29" t="s">
        <v>60</v>
      </c>
      <c r="G23" s="29" t="s">
        <v>61</v>
      </c>
      <c r="H23" s="29" t="s">
        <v>298</v>
      </c>
      <c r="I23" s="29" t="s">
        <v>299</v>
      </c>
      <c r="J23" s="29" t="s">
        <v>294</v>
      </c>
    </row>
    <row r="24" customFormat="false" ht="15" hidden="false" customHeight="true" outlineLevel="0" collapsed="false">
      <c r="A24" s="4" t="s">
        <v>132</v>
      </c>
      <c r="B24" s="19" t="n">
        <f aca="false">COUNTIF(Bags!$B$3:$B$503,$A24)</f>
        <v>3</v>
      </c>
      <c r="C24" s="19" t="n">
        <f aca="false">COUNTIFS(Bags!$B$3:$B$503,$A24,Bags!$AC$3:$AC$503,"Sold")</f>
        <v>3</v>
      </c>
      <c r="D24" s="30" t="n">
        <f aca="false">IFERROR(C24/B24,0)</f>
        <v>1</v>
      </c>
      <c r="E24" s="31" t="n">
        <f aca="false">SUMIFS(Bags!$AE$3:$AE$503,Bags!$B$3:$B$503,$A24,Bags!$AC$3:$AC$503,"Sold")</f>
        <v>535</v>
      </c>
      <c r="F24" s="32" t="n">
        <f aca="false">SUMIFS(Bags!$AI$3:$AI$503,Bags!$B$3:$B$503,$A24)</f>
        <v>393</v>
      </c>
      <c r="G24" s="30" t="n">
        <f aca="false">IFERROR(F24/E24,0)</f>
        <v>0.734579439252337</v>
      </c>
      <c r="H24" s="19" t="n">
        <f aca="false">IFERROR(AVERAGEIFS(Bags!$AL$3:$AL$503,Bags!$B$3:$B$503,$A24,Bags!$AC$3:$AC$503,"Sold"),0)</f>
        <v>0</v>
      </c>
      <c r="I24" s="30" t="n">
        <f aca="false">IFERROR(AVERAGEIFS(Bags!$AM$3:$AM$503,Bags!$B$3:$B$503,$A24,Bags!$AC$3:$AC$503,"Sold"),0)</f>
        <v>0.276161786300423</v>
      </c>
      <c r="J24" s="31" t="n">
        <f aca="false">SUMIFS(Bags!$X$3:$X$503,Bags!$B$3:$B$503,$A24,Bags!$AC$3:$AC$503,"&lt;&gt;Sold")</f>
        <v>0</v>
      </c>
    </row>
    <row r="25" customFormat="false" ht="15" hidden="false" customHeight="true" outlineLevel="0" collapsed="false">
      <c r="A25" s="4" t="s">
        <v>83</v>
      </c>
      <c r="B25" s="19" t="n">
        <f aca="false">COUNTIF(Bags!$B$3:$B$503,$A25)</f>
        <v>3</v>
      </c>
      <c r="C25" s="19" t="n">
        <f aca="false">COUNTIFS(Bags!$B$3:$B$503,$A25,Bags!$AC$3:$AC$503,"Sold")</f>
        <v>3</v>
      </c>
      <c r="D25" s="30" t="n">
        <f aca="false">IFERROR(C25/B25,0)</f>
        <v>1</v>
      </c>
      <c r="E25" s="31" t="n">
        <f aca="false">SUMIFS(Bags!$AE$3:$AE$503,Bags!$B$3:$B$503,$A25,Bags!$AC$3:$AC$503,"Sold")</f>
        <v>411</v>
      </c>
      <c r="F25" s="32" t="n">
        <f aca="false">SUMIFS(Bags!$AI$3:$AI$503,Bags!$B$3:$B$503,$A25)</f>
        <v>331</v>
      </c>
      <c r="G25" s="30" t="n">
        <f aca="false">IFERROR(F25/E25,0)</f>
        <v>0.805352798053528</v>
      </c>
      <c r="H25" s="19" t="n">
        <f aca="false">IFERROR(AVERAGEIFS(Bags!$AL$3:$AL$503,Bags!$B$3:$B$503,$A25,Bags!$AC$3:$AC$503,"Sold"),0)</f>
        <v>0</v>
      </c>
      <c r="I25" s="30" t="n">
        <f aca="false">IFERROR(AVERAGEIFS(Bags!$AM$3:$AM$503,Bags!$B$3:$B$503,$A25,Bags!$AC$3:$AC$503,"Sold"),0)</f>
        <v>-0.387016229712859</v>
      </c>
      <c r="J25" s="31" t="n">
        <f aca="false">SUMIFS(Bags!$X$3:$X$503,Bags!$B$3:$B$503,$A25,Bags!$AC$3:$AC$503,"&lt;&gt;Sold")</f>
        <v>0</v>
      </c>
    </row>
    <row r="26" customFormat="false" ht="15" hidden="false" customHeight="true" outlineLevel="0" collapsed="false">
      <c r="A26" s="4" t="s">
        <v>301</v>
      </c>
      <c r="B26" s="19" t="n">
        <f aca="false">COUNTIF(Bags!$B$3:$B$503,$A26)</f>
        <v>0</v>
      </c>
      <c r="C26" s="19" t="n">
        <f aca="false">COUNTIFS(Bags!$B$3:$B$503,$A26,Bags!$AC$3:$AC$503,"Sold")</f>
        <v>0</v>
      </c>
      <c r="D26" s="30" t="n">
        <f aca="false">IFERROR(C26/B26,0)</f>
        <v>0</v>
      </c>
      <c r="E26" s="31" t="n">
        <f aca="false">SUMIFS(Bags!$AE$3:$AE$503,Bags!$B$3:$B$503,$A26,Bags!$AC$3:$AC$503,"Sold")</f>
        <v>0</v>
      </c>
      <c r="F26" s="32" t="n">
        <f aca="false">SUMIFS(Bags!$AI$3:$AI$503,Bags!$B$3:$B$503,$A26)</f>
        <v>0</v>
      </c>
      <c r="G26" s="30" t="n">
        <f aca="false">IFERROR(F26/E26,0)</f>
        <v>0</v>
      </c>
      <c r="H26" s="19" t="n">
        <f aca="false">IFERROR(AVERAGEIFS(Bags!$AL$3:$AL$503,Bags!$B$3:$B$503,$A26,Bags!$AC$3:$AC$503,"Sold"),0)</f>
        <v>0</v>
      </c>
      <c r="I26" s="30" t="n">
        <f aca="false">IFERROR(AVERAGEIFS(Bags!$AM$3:$AM$503,Bags!$B$3:$B$503,$A26,Bags!$AC$3:$AC$503,"Sold"),0)</f>
        <v>0</v>
      </c>
      <c r="J26" s="31" t="n">
        <f aca="false">SUMIFS(Bags!$X$3:$X$503,Bags!$B$3:$B$503,$A26,Bags!$AC$3:$AC$503,"&lt;&gt;Sold")</f>
        <v>0</v>
      </c>
    </row>
    <row r="27" customFormat="false" ht="15" hidden="false" customHeight="true" outlineLevel="0" collapsed="false">
      <c r="A27" s="4" t="s">
        <v>89</v>
      </c>
      <c r="B27" s="19" t="n">
        <f aca="false">COUNTIF(Bags!$B$3:$B$503,$A27)</f>
        <v>5</v>
      </c>
      <c r="C27" s="19" t="n">
        <f aca="false">COUNTIFS(Bags!$B$3:$B$503,$A27,Bags!$AC$3:$AC$503,"Sold")</f>
        <v>5</v>
      </c>
      <c r="D27" s="30" t="n">
        <f aca="false">IFERROR(C27/B27,0)</f>
        <v>1</v>
      </c>
      <c r="E27" s="31" t="n">
        <f aca="false">SUMIFS(Bags!$AE$3:$AE$503,Bags!$B$3:$B$503,$A27,Bags!$AC$3:$AC$503,"Sold")</f>
        <v>2225</v>
      </c>
      <c r="F27" s="32" t="n">
        <f aca="false">SUMIFS(Bags!$AI$3:$AI$503,Bags!$B$3:$B$503,$A27)</f>
        <v>775</v>
      </c>
      <c r="G27" s="30" t="n">
        <f aca="false">IFERROR(F27/E27,0)</f>
        <v>0.348314606741573</v>
      </c>
      <c r="H27" s="19" t="n">
        <f aca="false">IFERROR(AVERAGEIFS(Bags!$AL$3:$AL$503,Bags!$B$3:$B$503,$A27,Bags!$AC$3:$AC$503,"Sold"),0)</f>
        <v>0</v>
      </c>
      <c r="I27" s="30" t="n">
        <f aca="false">IFERROR(AVERAGEIFS(Bags!$AM$3:$AM$503,Bags!$B$3:$B$503,$A27,Bags!$AC$3:$AC$503,"Sold"),0)</f>
        <v>0.277172233088136</v>
      </c>
      <c r="J27" s="31" t="n">
        <f aca="false">SUMIFS(Bags!$X$3:$X$503,Bags!$B$3:$B$503,$A27,Bags!$AC$3:$AC$503,"&lt;&gt;Sold")</f>
        <v>0</v>
      </c>
    </row>
    <row r="28" customFormat="false" ht="15" hidden="false" customHeight="true" outlineLevel="0" collapsed="false">
      <c r="A28" s="4" t="s">
        <v>94</v>
      </c>
      <c r="B28" s="19" t="n">
        <f aca="false">COUNTIF(Bags!$B$3:$B$503,$A28)</f>
        <v>7</v>
      </c>
      <c r="C28" s="19" t="n">
        <f aca="false">COUNTIFS(Bags!$B$3:$B$503,$A28,Bags!$AC$3:$AC$503,"Sold")</f>
        <v>7</v>
      </c>
      <c r="D28" s="30" t="n">
        <f aca="false">IFERROR(C28/B28,0)</f>
        <v>1</v>
      </c>
      <c r="E28" s="31" t="n">
        <f aca="false">SUMIFS(Bags!$AE$3:$AE$503,Bags!$B$3:$B$503,$A28,Bags!$AC$3:$AC$503,"Sold")</f>
        <v>1682</v>
      </c>
      <c r="F28" s="32" t="n">
        <f aca="false">SUMIFS(Bags!$AI$3:$AI$503,Bags!$B$3:$B$503,$A28)</f>
        <v>787</v>
      </c>
      <c r="G28" s="30" t="n">
        <f aca="false">IFERROR(F28/E28,0)</f>
        <v>0.467895362663496</v>
      </c>
      <c r="H28" s="19" t="n">
        <f aca="false">IFERROR(AVERAGEIFS(Bags!$AL$3:$AL$503,Bags!$B$3:$B$503,$A28,Bags!$AC$3:$AC$503,"Sold"),0)</f>
        <v>0</v>
      </c>
      <c r="I28" s="30" t="n">
        <f aca="false">IFERROR(AVERAGEIFS(Bags!$AM$3:$AM$503,Bags!$B$3:$B$503,$A28,Bags!$AC$3:$AC$503,"Sold"),0)</f>
        <v>0.13216691144227</v>
      </c>
      <c r="J28" s="31" t="n">
        <f aca="false">SUMIFS(Bags!$X$3:$X$503,Bags!$B$3:$B$503,$A28,Bags!$AC$3:$AC$503,"&lt;&gt;Sold")</f>
        <v>0</v>
      </c>
    </row>
    <row r="29" customFormat="false" ht="15" hidden="false" customHeight="true" outlineLevel="0" collapsed="false">
      <c r="A29" s="4" t="s">
        <v>190</v>
      </c>
      <c r="B29" s="19" t="n">
        <f aca="false">COUNTIF(Bags!$B$3:$B$503,$A29)</f>
        <v>4</v>
      </c>
      <c r="C29" s="19" t="n">
        <f aca="false">COUNTIFS(Bags!$B$3:$B$503,$A29,Bags!$AC$3:$AC$503,"Sold")</f>
        <v>4</v>
      </c>
      <c r="D29" s="30" t="n">
        <f aca="false">IFERROR(C29/B29,0)</f>
        <v>1</v>
      </c>
      <c r="E29" s="31" t="n">
        <f aca="false">SUMIFS(Bags!$AE$3:$AE$503,Bags!$B$3:$B$503,$A29,Bags!$AC$3:$AC$503,"Sold")</f>
        <v>450</v>
      </c>
      <c r="F29" s="32" t="n">
        <f aca="false">SUMIFS(Bags!$AI$3:$AI$503,Bags!$B$3:$B$503,$A29)</f>
        <v>223</v>
      </c>
      <c r="G29" s="30" t="n">
        <f aca="false">IFERROR(F29/E29,0)</f>
        <v>0.495555555555556</v>
      </c>
      <c r="H29" s="19" t="n">
        <f aca="false">IFERROR(AVERAGEIFS(Bags!$AL$3:$AL$503,Bags!$B$3:$B$503,$A29,Bags!$AC$3:$AC$503,"Sold"),0)</f>
        <v>0</v>
      </c>
      <c r="I29" s="30" t="n">
        <f aca="false">IFERROR(AVERAGEIFS(Bags!$AM$3:$AM$503,Bags!$B$3:$B$503,$A29,Bags!$AC$3:$AC$503,"Sold"),0)</f>
        <v>0.141944444444444</v>
      </c>
      <c r="J29" s="31" t="n">
        <f aca="false">SUMIFS(Bags!$X$3:$X$503,Bags!$B$3:$B$503,$A29,Bags!$AC$3:$AC$503,"&lt;&gt;Sold")</f>
        <v>0</v>
      </c>
    </row>
    <row r="30" customFormat="false" ht="15" hidden="false" customHeight="true" outlineLevel="0" collapsed="false">
      <c r="A30" s="4" t="s">
        <v>302</v>
      </c>
      <c r="B30" s="19" t="n">
        <f aca="false">COUNTIF(Bags!$B$3:$B$503,$A30)</f>
        <v>0</v>
      </c>
      <c r="C30" s="19" t="n">
        <f aca="false">COUNTIFS(Bags!$B$3:$B$503,$A30,Bags!$AC$3:$AC$503,"Sold")</f>
        <v>0</v>
      </c>
      <c r="D30" s="30" t="n">
        <f aca="false">IFERROR(C30/B30,0)</f>
        <v>0</v>
      </c>
      <c r="E30" s="31" t="n">
        <f aca="false">SUMIFS(Bags!$AE$3:$AE$503,Bags!$B$3:$B$503,$A30,Bags!$AC$3:$AC$503,"Sold")</f>
        <v>0</v>
      </c>
      <c r="F30" s="32" t="n">
        <f aca="false">SUMIFS(Bags!$AI$3:$AI$503,Bags!$B$3:$B$503,$A30)</f>
        <v>0</v>
      </c>
      <c r="G30" s="30" t="n">
        <f aca="false">IFERROR(F30/E30,0)</f>
        <v>0</v>
      </c>
      <c r="H30" s="19" t="n">
        <f aca="false">IFERROR(AVERAGEIFS(Bags!$AL$3:$AL$503,Bags!$B$3:$B$503,$A30,Bags!$AC$3:$AC$503,"Sold"),0)</f>
        <v>0</v>
      </c>
      <c r="I30" s="30" t="n">
        <f aca="false">IFERROR(AVERAGEIFS(Bags!$AM$3:$AM$503,Bags!$B$3:$B$503,$A30,Bags!$AC$3:$AC$503,"Sold"),0)</f>
        <v>0</v>
      </c>
      <c r="J30" s="31" t="n">
        <f aca="false">SUMIFS(Bags!$X$3:$X$503,Bags!$B$3:$B$503,$A30,Bags!$AC$3:$AC$503,"&lt;&gt;Sold")</f>
        <v>0</v>
      </c>
    </row>
    <row r="31" customFormat="false" ht="15" hidden="false" customHeight="true" outlineLevel="0" collapsed="false">
      <c r="A31" s="4" t="s">
        <v>69</v>
      </c>
      <c r="B31" s="19" t="n">
        <f aca="false">COUNTIF(Bags!$B$3:$B$503,$A31)</f>
        <v>3</v>
      </c>
      <c r="C31" s="19" t="n">
        <f aca="false">COUNTIFS(Bags!$B$3:$B$503,$A31,Bags!$AC$3:$AC$503,"Sold")</f>
        <v>3</v>
      </c>
      <c r="D31" s="30" t="n">
        <f aca="false">IFERROR(C31/B31,0)</f>
        <v>1</v>
      </c>
      <c r="E31" s="31" t="n">
        <f aca="false">SUMIFS(Bags!$AE$3:$AE$503,Bags!$B$3:$B$503,$A31,Bags!$AC$3:$AC$503,"Sold")</f>
        <v>659</v>
      </c>
      <c r="F31" s="32" t="n">
        <f aca="false">SUMIFS(Bags!$AI$3:$AI$503,Bags!$B$3:$B$503,$A31)</f>
        <v>487</v>
      </c>
      <c r="G31" s="30" t="n">
        <f aca="false">IFERROR(F31/E31,0)</f>
        <v>0.738998482549317</v>
      </c>
      <c r="H31" s="19" t="n">
        <f aca="false">IFERROR(AVERAGEIFS(Bags!$AL$3:$AL$503,Bags!$B$3:$B$503,$A31,Bags!$AC$3:$AC$503,"Sold"),0)</f>
        <v>0</v>
      </c>
      <c r="I31" s="30" t="n">
        <f aca="false">IFERROR(AVERAGEIFS(Bags!$AM$3:$AM$503,Bags!$B$3:$B$503,$A31,Bags!$AC$3:$AC$503,"Sold"),0)</f>
        <v>-0.00321954403148594</v>
      </c>
      <c r="J31" s="31" t="n">
        <f aca="false">SUMIFS(Bags!$X$3:$X$503,Bags!$B$3:$B$503,$A31,Bags!$AC$3:$AC$503,"&lt;&gt;Sold")</f>
        <v>0</v>
      </c>
    </row>
    <row r="32" customFormat="false" ht="15" hidden="false" customHeight="true" outlineLevel="0" collapsed="false">
      <c r="A32" s="4" t="s">
        <v>99</v>
      </c>
      <c r="B32" s="19" t="n">
        <f aca="false">COUNTIF(Bags!$B$3:$B$503,$A32)</f>
        <v>7</v>
      </c>
      <c r="C32" s="19" t="n">
        <f aca="false">COUNTIFS(Bags!$B$3:$B$503,$A32,Bags!$AC$3:$AC$503,"Sold")</f>
        <v>6</v>
      </c>
      <c r="D32" s="30" t="n">
        <f aca="false">IFERROR(C32/B32,0)</f>
        <v>0.857142857142857</v>
      </c>
      <c r="E32" s="31" t="n">
        <f aca="false">SUMIFS(Bags!$AE$3:$AE$503,Bags!$B$3:$B$503,$A32,Bags!$AC$3:$AC$503,"Sold")</f>
        <v>747</v>
      </c>
      <c r="F32" s="32" t="n">
        <f aca="false">SUMIFS(Bags!$AI$3:$AI$503,Bags!$B$3:$B$503,$A32)</f>
        <v>384</v>
      </c>
      <c r="G32" s="30" t="n">
        <f aca="false">IFERROR(F32/E32,0)</f>
        <v>0.514056224899598</v>
      </c>
      <c r="H32" s="19" t="n">
        <f aca="false">IFERROR(AVERAGEIFS(Bags!$AL$3:$AL$503,Bags!$B$3:$B$503,$A32,Bags!$AC$3:$AC$503,"Sold"),0)</f>
        <v>0</v>
      </c>
      <c r="I32" s="30" t="n">
        <f aca="false">IFERROR(AVERAGEIFS(Bags!$AM$3:$AM$503,Bags!$B$3:$B$503,$A32,Bags!$AC$3:$AC$503,"Sold"),0)</f>
        <v>-0.118450628617548</v>
      </c>
      <c r="J32" s="31" t="n">
        <f aca="false">SUMIFS(Bags!$X$3:$X$503,Bags!$B$3:$B$503,$A32,Bags!$AC$3:$AC$503,"&lt;&gt;Sold")</f>
        <v>45</v>
      </c>
    </row>
    <row r="33" customFormat="false" ht="15" hidden="false" customHeight="true" outlineLevel="0" collapsed="false">
      <c r="A33" s="4" t="s">
        <v>303</v>
      </c>
      <c r="B33" s="19" t="n">
        <f aca="false">COUNTIF(Bags!$B$3:$B$503,$A33)</f>
        <v>0</v>
      </c>
      <c r="C33" s="19" t="n">
        <f aca="false">COUNTIFS(Bags!$B$3:$B$503,$A33,Bags!$AC$3:$AC$503,"Sold")</f>
        <v>0</v>
      </c>
      <c r="D33" s="30" t="n">
        <f aca="false">IFERROR(C33/B33,0)</f>
        <v>0</v>
      </c>
      <c r="E33" s="31" t="n">
        <f aca="false">SUMIFS(Bags!$AE$3:$AE$503,Bags!$B$3:$B$503,$A33,Bags!$AC$3:$AC$503,"Sold")</f>
        <v>0</v>
      </c>
      <c r="F33" s="32" t="n">
        <f aca="false">SUMIFS(Bags!$AI$3:$AI$503,Bags!$B$3:$B$503,$A33)</f>
        <v>0</v>
      </c>
      <c r="G33" s="30" t="n">
        <f aca="false">IFERROR(F33/E33,0)</f>
        <v>0</v>
      </c>
      <c r="H33" s="19" t="n">
        <f aca="false">IFERROR(AVERAGEIFS(Bags!$AL$3:$AL$503,Bags!$B$3:$B$503,$A33,Bags!$AC$3:$AC$503,"Sold"),0)</f>
        <v>0</v>
      </c>
      <c r="I33" s="30" t="n">
        <f aca="false">IFERROR(AVERAGEIFS(Bags!$AM$3:$AM$503,Bags!$B$3:$B$503,$A33,Bags!$AC$3:$AC$503,"Sold"),0)</f>
        <v>0</v>
      </c>
      <c r="J33" s="31" t="n">
        <f aca="false">SUMIFS(Bags!$X$3:$X$503,Bags!$B$3:$B$503,$A33,Bags!$AC$3:$AC$503,"&lt;&gt;Sold")</f>
        <v>0</v>
      </c>
    </row>
    <row r="34" customFormat="false" ht="15" hidden="false" customHeight="true" outlineLevel="0" collapsed="false">
      <c r="A34" s="4" t="s">
        <v>194</v>
      </c>
      <c r="B34" s="19" t="n">
        <f aca="false">COUNTIF(Bags!$B$3:$B$503,$A34)</f>
        <v>1</v>
      </c>
      <c r="C34" s="19" t="n">
        <f aca="false">COUNTIFS(Bags!$B$3:$B$503,$A34,Bags!$AC$3:$AC$503,"Sold")</f>
        <v>1</v>
      </c>
      <c r="D34" s="30" t="n">
        <f aca="false">IFERROR(C34/B34,0)</f>
        <v>1</v>
      </c>
      <c r="E34" s="31" t="n">
        <f aca="false">SUMIFS(Bags!$AE$3:$AE$503,Bags!$B$3:$B$503,$A34,Bags!$AC$3:$AC$503,"Sold")</f>
        <v>455</v>
      </c>
      <c r="F34" s="32" t="n">
        <f aca="false">SUMIFS(Bags!$AI$3:$AI$503,Bags!$B$3:$B$503,$A34)</f>
        <v>151</v>
      </c>
      <c r="G34" s="30" t="n">
        <f aca="false">IFERROR(F34/E34,0)</f>
        <v>0.331868131868132</v>
      </c>
      <c r="H34" s="19" t="n">
        <f aca="false">IFERROR(AVERAGEIFS(Bags!$AL$3:$AL$503,Bags!$B$3:$B$503,$A34,Bags!$AC$3:$AC$503,"Sold"),0)</f>
        <v>0</v>
      </c>
      <c r="I34" s="30" t="n">
        <f aca="false">IFERROR(AVERAGEIFS(Bags!$AM$3:$AM$503,Bags!$B$3:$B$503,$A34,Bags!$AC$3:$AC$503,"Sold"),0)</f>
        <v>0.286833855799373</v>
      </c>
      <c r="J34" s="31" t="n">
        <f aca="false">SUMIFS(Bags!$X$3:$X$503,Bags!$B$3:$B$503,$A34,Bags!$AC$3:$AC$503,"&lt;&gt;Sold")</f>
        <v>0</v>
      </c>
    </row>
    <row r="35" customFormat="false" ht="15" hidden="false" customHeight="true" outlineLevel="0" collapsed="false">
      <c r="A35" s="4" t="s">
        <v>140</v>
      </c>
      <c r="B35" s="19" t="n">
        <f aca="false">COUNTIF(Bags!$B$3:$B$503,$A35)</f>
        <v>15</v>
      </c>
      <c r="C35" s="19" t="n">
        <f aca="false">COUNTIFS(Bags!$B$3:$B$503,$A35,Bags!$AC$3:$AC$503,"Sold")</f>
        <v>15</v>
      </c>
      <c r="D35" s="30" t="n">
        <f aca="false">IFERROR(C35/B35,0)</f>
        <v>1</v>
      </c>
      <c r="E35" s="31" t="n">
        <f aca="false">SUMIFS(Bags!$AE$3:$AE$503,Bags!$B$3:$B$503,$A35,Bags!$AC$3:$AC$503,"Sold")</f>
        <v>2375</v>
      </c>
      <c r="F35" s="32" t="n">
        <f aca="false">SUMIFS(Bags!$AI$3:$AI$503,Bags!$B$3:$B$503,$A35)</f>
        <v>839</v>
      </c>
      <c r="G35" s="30" t="n">
        <f aca="false">IFERROR(F35/E35,0)</f>
        <v>0.353263157894737</v>
      </c>
      <c r="H35" s="19" t="n">
        <f aca="false">IFERROR(AVERAGEIFS(Bags!$AL$3:$AL$503,Bags!$B$3:$B$503,$A35,Bags!$AC$3:$AC$503,"Sold"),0)</f>
        <v>0</v>
      </c>
      <c r="I35" s="30" t="n">
        <f aca="false">IFERROR(AVERAGEIFS(Bags!$AM$3:$AM$503,Bags!$B$3:$B$503,$A35,Bags!$AC$3:$AC$503,"Sold"),0)</f>
        <v>0.132076641187036</v>
      </c>
      <c r="J35" s="31" t="n">
        <f aca="false">SUMIFS(Bags!$X$3:$X$503,Bags!$B$3:$B$503,$A35,Bags!$AC$3:$AC$503,"&lt;&gt;Sold")</f>
        <v>0</v>
      </c>
    </row>
    <row r="36" customFormat="false" ht="15" hidden="false" customHeight="true" outlineLevel="0" collapsed="false">
      <c r="A36" s="4" t="s">
        <v>172</v>
      </c>
      <c r="B36" s="19" t="n">
        <f aca="false">COUNTIF(Bags!$B$3:$B$503,$A36)</f>
        <v>1</v>
      </c>
      <c r="C36" s="19" t="n">
        <f aca="false">COUNTIFS(Bags!$B$3:$B$503,$A36,Bags!$AC$3:$AC$503,"Sold")</f>
        <v>1</v>
      </c>
      <c r="D36" s="30" t="n">
        <f aca="false">IFERROR(C36/B36,0)</f>
        <v>1</v>
      </c>
      <c r="E36" s="31" t="n">
        <f aca="false">SUMIFS(Bags!$AE$3:$AE$503,Bags!$B$3:$B$503,$A36,Bags!$AC$3:$AC$503,"Sold")</f>
        <v>339</v>
      </c>
      <c r="F36" s="32" t="n">
        <f aca="false">SUMIFS(Bags!$AI$3:$AI$503,Bags!$B$3:$B$503,$A36)</f>
        <v>81</v>
      </c>
      <c r="G36" s="30" t="n">
        <f aca="false">IFERROR(F36/E36,0)</f>
        <v>0.238938053097345</v>
      </c>
      <c r="H36" s="19" t="n">
        <f aca="false">IFERROR(AVERAGEIFS(Bags!$AL$3:$AL$503,Bags!$B$3:$B$503,$A36,Bags!$AC$3:$AC$503,"Sold"),0)</f>
        <v>0</v>
      </c>
      <c r="I36" s="30" t="n">
        <f aca="false">IFERROR(AVERAGEIFS(Bags!$AM$3:$AM$503,Bags!$B$3:$B$503,$A36,Bags!$AC$3:$AC$503,"Sold"),0)</f>
        <v>0.200471698113208</v>
      </c>
      <c r="J36" s="31" t="n">
        <f aca="false">SUMIFS(Bags!$X$3:$X$503,Bags!$B$3:$B$503,$A36,Bags!$AC$3:$AC$503,"&lt;&gt;Sold")</f>
        <v>0</v>
      </c>
    </row>
    <row r="37" customFormat="false" ht="15" hidden="false" customHeight="true" outlineLevel="0" collapsed="false">
      <c r="A37" s="4" t="s">
        <v>218</v>
      </c>
      <c r="B37" s="19" t="n">
        <f aca="false">COUNTIF(Bags!$B$3:$B$503,$A37)</f>
        <v>6</v>
      </c>
      <c r="C37" s="19" t="n">
        <f aca="false">COUNTIFS(Bags!$B$3:$B$503,$A37,Bags!$AC$3:$AC$503,"Sold")</f>
        <v>6</v>
      </c>
      <c r="D37" s="30" t="n">
        <f aca="false">IFERROR(C37/B37,0)</f>
        <v>1</v>
      </c>
      <c r="E37" s="31" t="n">
        <f aca="false">SUMIFS(Bags!$AE$3:$AE$503,Bags!$B$3:$B$503,$A37,Bags!$AC$3:$AC$503,"Sold")</f>
        <v>883</v>
      </c>
      <c r="F37" s="32" t="n">
        <f aca="false">SUMIFS(Bags!$AI$3:$AI$503,Bags!$B$3:$B$503,$A37)</f>
        <v>310</v>
      </c>
      <c r="G37" s="30" t="n">
        <f aca="false">IFERROR(F37/E37,0)</f>
        <v>0.351075877689694</v>
      </c>
      <c r="H37" s="19" t="n">
        <f aca="false">IFERROR(AVERAGEIFS(Bags!$AL$3:$AL$503,Bags!$B$3:$B$503,$A37,Bags!$AC$3:$AC$503,"Sold"),0)</f>
        <v>0</v>
      </c>
      <c r="I37" s="30" t="n">
        <f aca="false">IFERROR(AVERAGEIFS(Bags!$AM$3:$AM$503,Bags!$B$3:$B$503,$A37,Bags!$AC$3:$AC$503,"Sold"),0)</f>
        <v>0.237694372596122</v>
      </c>
      <c r="J37" s="31" t="n">
        <f aca="false">SUMIFS(Bags!$X$3:$X$503,Bags!$B$3:$B$503,$A37,Bags!$AC$3:$AC$503,"&lt;&gt;Sold")</f>
        <v>0</v>
      </c>
    </row>
    <row r="38" customFormat="false" ht="15" hidden="false" customHeight="true" outlineLevel="0" collapsed="false">
      <c r="A38" s="4" t="s">
        <v>230</v>
      </c>
      <c r="B38" s="19" t="n">
        <f aca="false">COUNTIF(Bags!$B$3:$B$503,$A38)</f>
        <v>1</v>
      </c>
      <c r="C38" s="19" t="n">
        <f aca="false">COUNTIFS(Bags!$B$3:$B$503,$A38,Bags!$AC$3:$AC$503,"Sold")</f>
        <v>1</v>
      </c>
      <c r="D38" s="30" t="n">
        <f aca="false">IFERROR(C38/B38,0)</f>
        <v>1</v>
      </c>
      <c r="E38" s="31" t="n">
        <f aca="false">SUMIFS(Bags!$AE$3:$AE$503,Bags!$B$3:$B$503,$A38,Bags!$AC$3:$AC$503,"Sold")</f>
        <v>133</v>
      </c>
      <c r="F38" s="32" t="n">
        <f aca="false">SUMIFS(Bags!$AI$3:$AI$503,Bags!$B$3:$B$503,$A38)</f>
        <v>53</v>
      </c>
      <c r="G38" s="30" t="n">
        <f aca="false">IFERROR(F38/E38,0)</f>
        <v>0.398496240601504</v>
      </c>
      <c r="H38" s="19" t="n">
        <f aca="false">IFERROR(AVERAGEIFS(Bags!$AL$3:$AL$503,Bags!$B$3:$B$503,$A38,Bags!$AC$3:$AC$503,"Sold"),0)</f>
        <v>0</v>
      </c>
      <c r="I38" s="30" t="n">
        <f aca="false">IFERROR(AVERAGEIFS(Bags!$AM$3:$AM$503,Bags!$B$3:$B$503,$A38,Bags!$AC$3:$AC$503,"Sold"),0)</f>
        <v>0.288770053475936</v>
      </c>
      <c r="J38" s="31" t="n">
        <f aca="false">SUMIFS(Bags!$X$3:$X$503,Bags!$B$3:$B$503,$A38,Bags!$AC$3:$AC$503,"&lt;&gt;Sold")</f>
        <v>0</v>
      </c>
    </row>
    <row r="39" customFormat="false" ht="15" hidden="false" customHeight="true" outlineLevel="0" collapsed="false">
      <c r="A39" s="4" t="s">
        <v>237</v>
      </c>
      <c r="B39" s="19" t="n">
        <f aca="false">COUNTIF(Bags!$B$3:$B$503,$A39)</f>
        <v>1</v>
      </c>
      <c r="C39" s="19" t="n">
        <f aca="false">COUNTIFS(Bags!$B$3:$B$503,$A39,Bags!$AC$3:$AC$503,"Sold")</f>
        <v>0</v>
      </c>
      <c r="D39" s="30" t="n">
        <f aca="false">IFERROR(C39/B39,0)</f>
        <v>0</v>
      </c>
      <c r="E39" s="31" t="n">
        <f aca="false">SUMIFS(Bags!$AE$3:$AE$503,Bags!$B$3:$B$503,$A39,Bags!$AC$3:$AC$503,"Sold")</f>
        <v>0</v>
      </c>
      <c r="F39" s="32" t="n">
        <f aca="false">SUMIFS(Bags!$AI$3:$AI$503,Bags!$B$3:$B$503,$A39)</f>
        <v>0</v>
      </c>
      <c r="G39" s="30" t="n">
        <f aca="false">IFERROR(F39/E39,0)</f>
        <v>0</v>
      </c>
      <c r="H39" s="19" t="n">
        <f aca="false">IFERROR(AVERAGEIFS(Bags!$AL$3:$AL$503,Bags!$B$3:$B$503,$A39,Bags!$AC$3:$AC$503,"Sold"),0)</f>
        <v>0</v>
      </c>
      <c r="I39" s="30" t="n">
        <f aca="false">IFERROR(AVERAGEIFS(Bags!$AM$3:$AM$503,Bags!$B$3:$B$503,$A39,Bags!$AC$3:$AC$503,"Sold"),0)</f>
        <v>0</v>
      </c>
      <c r="J39" s="31" t="n">
        <f aca="false">SUMIFS(Bags!$X$3:$X$503,Bags!$B$3:$B$503,$A39,Bags!$AC$3:$AC$503,"&lt;&gt;Sold")</f>
        <v>69</v>
      </c>
    </row>
    <row r="40" customFormat="false" ht="15" hidden="false" customHeight="true" outlineLevel="0" collapsed="false">
      <c r="A40" s="4" t="s">
        <v>206</v>
      </c>
      <c r="B40" s="19" t="n">
        <f aca="false">COUNTIF(Bags!$B$3:$B$503,$A40)</f>
        <v>1</v>
      </c>
      <c r="C40" s="19" t="n">
        <f aca="false">COUNTIFS(Bags!$B$3:$B$503,$A40,Bags!$AC$3:$AC$503,"Sold")</f>
        <v>1</v>
      </c>
      <c r="D40" s="30" t="n">
        <f aca="false">IFERROR(C40/B40,0)</f>
        <v>1</v>
      </c>
      <c r="E40" s="31" t="n">
        <f aca="false">SUMIFS(Bags!$AE$3:$AE$503,Bags!$B$3:$B$503,$A40,Bags!$AC$3:$AC$503,"Sold")</f>
        <v>111</v>
      </c>
      <c r="F40" s="32" t="n">
        <f aca="false">SUMIFS(Bags!$AI$3:$AI$503,Bags!$B$3:$B$503,$A40)</f>
        <v>34</v>
      </c>
      <c r="G40" s="30" t="n">
        <f aca="false">IFERROR(F40/E40,0)</f>
        <v>0.306306306306306</v>
      </c>
      <c r="H40" s="19" t="n">
        <f aca="false">IFERROR(AVERAGEIFS(Bags!$AL$3:$AL$503,Bags!$B$3:$B$503,$A40,Bags!$AC$3:$AC$503,"Sold"),0)</f>
        <v>0</v>
      </c>
      <c r="I40" s="30" t="n">
        <f aca="false">IFERROR(AVERAGEIFS(Bags!$AM$3:$AM$503,Bags!$B$3:$B$503,$A40,Bags!$AC$3:$AC$503,"Sold"),0)</f>
        <v>0.283870967741935</v>
      </c>
      <c r="J40" s="31" t="n">
        <f aca="false">SUMIFS(Bags!$X$3:$X$503,Bags!$B$3:$B$503,$A40,Bags!$AC$3:$AC$503,"&lt;&gt;Sold")</f>
        <v>0</v>
      </c>
    </row>
    <row r="41" customFormat="false" ht="15" hidden="false" customHeight="true" outlineLevel="0" collapsed="false">
      <c r="A41" s="4" t="s">
        <v>243</v>
      </c>
      <c r="B41" s="19" t="n">
        <f aca="false">COUNTIF(Bags!$B$3:$B$503,$A41)</f>
        <v>1</v>
      </c>
      <c r="C41" s="19" t="n">
        <f aca="false">COUNTIFS(Bags!$B$3:$B$503,$A41,Bags!$AC$3:$AC$503,"Sold")</f>
        <v>0</v>
      </c>
      <c r="D41" s="30" t="n">
        <f aca="false">IFERROR(C41/B41,0)</f>
        <v>0</v>
      </c>
      <c r="E41" s="31" t="n">
        <f aca="false">SUMIFS(Bags!$AE$3:$AE$503,Bags!$B$3:$B$503,$A41,Bags!$AC$3:$AC$503,"Sold")</f>
        <v>0</v>
      </c>
      <c r="F41" s="32" t="n">
        <f aca="false">SUMIFS(Bags!$AI$3:$AI$503,Bags!$B$3:$B$503,$A41)</f>
        <v>0</v>
      </c>
      <c r="G41" s="30" t="n">
        <f aca="false">IFERROR(F41/E41,0)</f>
        <v>0</v>
      </c>
      <c r="H41" s="19" t="n">
        <f aca="false">IFERROR(AVERAGEIFS(Bags!$AL$3:$AL$503,Bags!$B$3:$B$503,$A41,Bags!$AC$3:$AC$503,"Sold"),0)</f>
        <v>0</v>
      </c>
      <c r="I41" s="30" t="n">
        <f aca="false">IFERROR(AVERAGEIFS(Bags!$AM$3:$AM$503,Bags!$B$3:$B$503,$A41,Bags!$AC$3:$AC$503,"Sold"),0)</f>
        <v>0</v>
      </c>
      <c r="J41" s="31" t="n">
        <f aca="false">SUMIFS(Bags!$X$3:$X$503,Bags!$B$3:$B$503,$A41,Bags!$AC$3:$AC$503,"&lt;&gt;Sold")</f>
        <v>60</v>
      </c>
    </row>
    <row r="42" customFormat="false" ht="15" hidden="false" customHeight="true" outlineLevel="0" collapsed="false">
      <c r="A42" s="4" t="s">
        <v>234</v>
      </c>
      <c r="B42" s="19" t="n">
        <f aca="false">COUNTIF(Bags!$B$3:$B$503,$A42)</f>
        <v>1</v>
      </c>
      <c r="C42" s="19" t="n">
        <f aca="false">COUNTIFS(Bags!$B$3:$B$503,$A42,Bags!$AC$3:$AC$503,"Sold")</f>
        <v>1</v>
      </c>
      <c r="D42" s="30" t="n">
        <f aca="false">IFERROR(C42/B42,0)</f>
        <v>1</v>
      </c>
      <c r="E42" s="31" t="n">
        <f aca="false">SUMIFS(Bags!$AE$3:$AE$503,Bags!$B$3:$B$503,$A42,Bags!$AC$3:$AC$503,"Sold")</f>
        <v>82</v>
      </c>
      <c r="F42" s="32" t="n">
        <f aca="false">SUMIFS(Bags!$AI$3:$AI$503,Bags!$B$3:$B$503,$A42)</f>
        <v>24</v>
      </c>
      <c r="G42" s="30" t="n">
        <f aca="false">IFERROR(F42/E42,0)</f>
        <v>0.292682926829268</v>
      </c>
      <c r="H42" s="19" t="n">
        <f aca="false">IFERROR(AVERAGEIFS(Bags!$AL$3:$AL$503,Bags!$B$3:$B$503,$A42,Bags!$AC$3:$AC$503,"Sold"),0)</f>
        <v>0</v>
      </c>
      <c r="I42" s="30" t="n">
        <f aca="false">IFERROR(AVERAGEIFS(Bags!$AM$3:$AM$503,Bags!$B$3:$B$503,$A42,Bags!$AC$3:$AC$503,"Sold"),0)</f>
        <v>0.274336283185841</v>
      </c>
      <c r="J42" s="31" t="n">
        <f aca="false">SUMIFS(Bags!$X$3:$X$503,Bags!$B$3:$B$503,$A42,Bags!$AC$3:$AC$503,"&lt;&gt;Sold")</f>
        <v>0</v>
      </c>
    </row>
    <row r="43" customFormat="false" ht="15" hidden="false" customHeight="true" outlineLevel="0" collapsed="false">
      <c r="A43" s="4" t="s">
        <v>304</v>
      </c>
      <c r="B43" s="19" t="n">
        <f aca="false">COUNTIF(Bags!$B$3:$B$503,$A43)</f>
        <v>0</v>
      </c>
      <c r="C43" s="19" t="n">
        <f aca="false">COUNTIFS(Bags!$B$3:$B$503,$A43,Bags!$AC$3:$AC$503,"Sold")</f>
        <v>0</v>
      </c>
      <c r="D43" s="30" t="n">
        <f aca="false">IFERROR(C43/B43,0)</f>
        <v>0</v>
      </c>
      <c r="E43" s="31" t="n">
        <f aca="false">SUMIFS(Bags!$AE$3:$AE$503,Bags!$B$3:$B$503,$A43,Bags!$AC$3:$AC$503,"Sold")</f>
        <v>0</v>
      </c>
      <c r="F43" s="32" t="n">
        <f aca="false">SUMIFS(Bags!$AI$3:$AI$503,Bags!$B$3:$B$503,$A43)</f>
        <v>0</v>
      </c>
      <c r="G43" s="30" t="n">
        <f aca="false">IFERROR(F43/E43,0)</f>
        <v>0</v>
      </c>
      <c r="H43" s="19" t="n">
        <f aca="false">IFERROR(AVERAGEIFS(Bags!$AL$3:$AL$503,Bags!$B$3:$B$503,$A43,Bags!$AC$3:$AC$503,"Sold"),0)</f>
        <v>0</v>
      </c>
      <c r="I43" s="30" t="n">
        <f aca="false">IFERROR(AVERAGEIFS(Bags!$AM$3:$AM$503,Bags!$B$3:$B$503,$A43,Bags!$AC$3:$AC$503,"Sold"),0)</f>
        <v>0</v>
      </c>
      <c r="J43" s="31" t="n">
        <f aca="false">SUMIFS(Bags!$X$3:$X$503,Bags!$B$3:$B$503,$A43,Bags!$AC$3:$AC$503,"&lt;&gt;Sold")</f>
        <v>0</v>
      </c>
    </row>
    <row r="44" customFormat="false" ht="15" hidden="false" customHeight="true" outlineLevel="0" collapsed="false">
      <c r="A44" s="4" t="s">
        <v>247</v>
      </c>
      <c r="B44" s="19" t="n">
        <f aca="false">COUNTIF(Bags!$B$3:$B$503,$A44)</f>
        <v>1</v>
      </c>
      <c r="C44" s="19" t="n">
        <f aca="false">COUNTIFS(Bags!$B$3:$B$503,$A44,Bags!$AC$3:$AC$503,"Sold")</f>
        <v>0</v>
      </c>
      <c r="D44" s="30" t="n">
        <f aca="false">IFERROR(C44/B44,0)</f>
        <v>0</v>
      </c>
      <c r="E44" s="31" t="n">
        <f aca="false">SUMIFS(Bags!$AE$3:$AE$503,Bags!$B$3:$B$503,$A44,Bags!$AC$3:$AC$503,"Sold")</f>
        <v>0</v>
      </c>
      <c r="F44" s="32" t="n">
        <f aca="false">SUMIFS(Bags!$AI$3:$AI$503,Bags!$B$3:$B$503,$A44)</f>
        <v>0</v>
      </c>
      <c r="G44" s="30" t="n">
        <f aca="false">IFERROR(F44/E44,0)</f>
        <v>0</v>
      </c>
      <c r="H44" s="19" t="n">
        <f aca="false">IFERROR(AVERAGEIFS(Bags!$AL$3:$AL$503,Bags!$B$3:$B$503,$A44,Bags!$AC$3:$AC$503,"Sold"),0)</f>
        <v>0</v>
      </c>
      <c r="I44" s="30" t="n">
        <f aca="false">IFERROR(AVERAGEIFS(Bags!$AM$3:$AM$503,Bags!$B$3:$B$503,$A44,Bags!$AC$3:$AC$503,"Sold"),0)</f>
        <v>0</v>
      </c>
      <c r="J44" s="31" t="n">
        <f aca="false">SUMIFS(Bags!$X$3:$X$503,Bags!$B$3:$B$503,$A44,Bags!$AC$3:$AC$503,"&lt;&gt;Sold")</f>
        <v>81</v>
      </c>
    </row>
    <row r="45" customFormat="false" ht="15" hidden="false" customHeight="true" outlineLevel="0" collapsed="false">
      <c r="A45" s="4" t="s">
        <v>281</v>
      </c>
      <c r="B45" s="19" t="n">
        <f aca="false">COUNTIF(Bags!$B$3:$B$503,$A45)</f>
        <v>1</v>
      </c>
      <c r="C45" s="19" t="n">
        <f aca="false">COUNTIFS(Bags!$B$3:$B$503,$A45,Bags!$AC$3:$AC$503,"Sold")</f>
        <v>1</v>
      </c>
      <c r="D45" s="30" t="n">
        <f aca="false">IFERROR(C45/B45,0)</f>
        <v>1</v>
      </c>
      <c r="E45" s="31" t="n">
        <f aca="false">SUMIFS(Bags!$AE$3:$AE$503,Bags!$B$3:$B$503,$A45,Bags!$AC$3:$AC$503,"Sold")</f>
        <v>86</v>
      </c>
      <c r="F45" s="32" t="n">
        <f aca="false">SUMIFS(Bags!$AI$3:$AI$503,Bags!$B$3:$B$503,$A45)</f>
        <v>50</v>
      </c>
      <c r="G45" s="30" t="n">
        <f aca="false">IFERROR(F45/E45,0)</f>
        <v>0.581395348837209</v>
      </c>
      <c r="H45" s="19" t="n">
        <f aca="false">IFERROR(AVERAGEIFS(Bags!$AL$3:$AL$503,Bags!$B$3:$B$503,$A45,Bags!$AC$3:$AC$503,"Sold"),0)</f>
        <v>0</v>
      </c>
      <c r="I45" s="30" t="n">
        <f aca="false">IFERROR(AVERAGEIFS(Bags!$AM$3:$AM$503,Bags!$B$3:$B$503,$A45,Bags!$AC$3:$AC$503,"Sold"),0)</f>
        <v>0</v>
      </c>
      <c r="J45" s="31" t="n">
        <f aca="false">SUMIFS(Bags!$X$3:$X$503,Bags!$B$3:$B$503,$A45,Bags!$AC$3:$AC$503,"&lt;&gt;Sold")</f>
        <v>0</v>
      </c>
    </row>
    <row r="48" customFormat="false" ht="15" hidden="false" customHeight="true" outlineLevel="0" collapsed="false">
      <c r="A48" s="27" t="s">
        <v>305</v>
      </c>
    </row>
    <row r="49" customFormat="false" ht="31.5" hidden="false" customHeight="true" outlineLevel="0" collapsed="false">
      <c r="A49" s="28" t="s">
        <v>50</v>
      </c>
      <c r="B49" s="29" t="s">
        <v>287</v>
      </c>
      <c r="C49" s="29" t="s">
        <v>79</v>
      </c>
      <c r="D49" s="29" t="s">
        <v>289</v>
      </c>
      <c r="E49" s="29" t="s">
        <v>297</v>
      </c>
      <c r="F49" s="29" t="s">
        <v>60</v>
      </c>
      <c r="G49" s="29" t="s">
        <v>61</v>
      </c>
      <c r="H49" s="29" t="s">
        <v>298</v>
      </c>
      <c r="I49" s="29" t="s">
        <v>299</v>
      </c>
      <c r="J49" s="29" t="s">
        <v>294</v>
      </c>
    </row>
    <row r="50" customFormat="false" ht="15" hidden="false" customHeight="true" outlineLevel="0" collapsed="false">
      <c r="A50" s="4" t="s">
        <v>78</v>
      </c>
      <c r="B50" s="19" t="n">
        <f aca="false">COUNTIF(Bags!$Y$3:$Y$503,$A50)</f>
        <v>16</v>
      </c>
      <c r="C50" s="19" t="n">
        <f aca="false">COUNTIFS(Bags!$Y$3:$Y$503,$A50,Bags!$AC$3:$AC$503,"Sold")</f>
        <v>16</v>
      </c>
      <c r="D50" s="30" t="n">
        <f aca="false">IFERROR(C50/B50,0)</f>
        <v>1</v>
      </c>
      <c r="E50" s="31" t="n">
        <f aca="false">SUMIFS(Bags!$AE$3:$AE$503,Bags!$Y$3:$Y$503,$A50,Bags!$AC$3:$AC$503,"Sold")</f>
        <v>1801</v>
      </c>
      <c r="F50" s="32" t="n">
        <f aca="false">SUMIFS(Bags!$AI$3:$AI$503,Bags!$Y$3:$Y$503,$A50)</f>
        <v>1254</v>
      </c>
      <c r="G50" s="30" t="n">
        <f aca="false">IFERROR(F50/E50,0)</f>
        <v>0.696279844530816</v>
      </c>
      <c r="H50" s="19" t="n">
        <f aca="false">IFERROR(AVERAGEIFS(Bags!$AL$3:$AL$503,Bags!$Y$3:$Y$503,$A50,Bags!$AC$3:$AC$503,"Sold"),0)</f>
        <v>0</v>
      </c>
      <c r="I50" s="30" t="n">
        <f aca="false">IFERROR(AVERAGEIFS(Bags!$AM$3:$AM$503,Bags!$Y$3:$Y$503,$A50,Bags!$AC$3:$AC$503,"Sold"),0)</f>
        <v>0.0691684811409875</v>
      </c>
      <c r="J50" s="31" t="n">
        <f aca="false">SUMIFS(Bags!$X$3:$X$503,Bags!$Y$3:$Y$503,$A50,Bags!$AC$3:$AC$503,"&lt;&gt;Sold")</f>
        <v>0</v>
      </c>
    </row>
    <row r="51" customFormat="false" ht="15" hidden="false" customHeight="true" outlineLevel="0" collapsed="false">
      <c r="A51" s="4" t="s">
        <v>125</v>
      </c>
      <c r="B51" s="19" t="n">
        <f aca="false">COUNTIF(Bags!$Y$3:$Y$503,$A51)</f>
        <v>12</v>
      </c>
      <c r="C51" s="19" t="n">
        <f aca="false">COUNTIFS(Bags!$Y$3:$Y$503,$A51,Bags!$AC$3:$AC$503,"Sold")</f>
        <v>12</v>
      </c>
      <c r="D51" s="30" t="n">
        <f aca="false">IFERROR(C51/B51,0)</f>
        <v>1</v>
      </c>
      <c r="E51" s="31" t="n">
        <f aca="false">SUMIFS(Bags!$AE$3:$AE$503,Bags!$Y$3:$Y$503,$A51,Bags!$AC$3:$AC$503,"Sold")</f>
        <v>4006</v>
      </c>
      <c r="F51" s="32" t="n">
        <f aca="false">SUMIFS(Bags!$AI$3:$AI$503,Bags!$Y$3:$Y$503,$A51)</f>
        <v>1177</v>
      </c>
      <c r="G51" s="30" t="n">
        <f aca="false">IFERROR(F51/E51,0)</f>
        <v>0.293809286070894</v>
      </c>
      <c r="H51" s="19" t="n">
        <f aca="false">IFERROR(AVERAGEIFS(Bags!$AL$3:$AL$503,Bags!$Y$3:$Y$503,$A51,Bags!$AC$3:$AC$503,"Sold"),0)</f>
        <v>0</v>
      </c>
      <c r="I51" s="30" t="n">
        <f aca="false">IFERROR(AVERAGEIFS(Bags!$AM$3:$AM$503,Bags!$Y$3:$Y$503,$A51,Bags!$AC$3:$AC$503,"Sold"),0)</f>
        <v>0.24012645834892</v>
      </c>
      <c r="J51" s="31" t="n">
        <f aca="false">SUMIFS(Bags!$X$3:$X$503,Bags!$Y$3:$Y$503,$A51,Bags!$AC$3:$AC$503,"&lt;&gt;Sold")</f>
        <v>0</v>
      </c>
    </row>
    <row r="52" customFormat="false" ht="15" hidden="false" customHeight="true" outlineLevel="0" collapsed="false">
      <c r="A52" s="4" t="s">
        <v>104</v>
      </c>
      <c r="B52" s="19" t="n">
        <f aca="false">COUNTIF(Bags!$Y$3:$Y$503,$A52)</f>
        <v>7</v>
      </c>
      <c r="C52" s="19" t="n">
        <f aca="false">COUNTIFS(Bags!$Y$3:$Y$503,$A52,Bags!$AC$3:$AC$503,"Sold")</f>
        <v>6</v>
      </c>
      <c r="D52" s="30" t="n">
        <f aca="false">IFERROR(C52/B52,0)</f>
        <v>0.857142857142857</v>
      </c>
      <c r="E52" s="31" t="n">
        <f aca="false">SUMIFS(Bags!$AE$3:$AE$503,Bags!$Y$3:$Y$503,$A52,Bags!$AC$3:$AC$503,"Sold")</f>
        <v>954</v>
      </c>
      <c r="F52" s="32" t="n">
        <f aca="false">SUMIFS(Bags!$AI$3:$AI$503,Bags!$Y$3:$Y$503,$A52)</f>
        <v>799</v>
      </c>
      <c r="G52" s="30" t="n">
        <f aca="false">IFERROR(F52/E52,0)</f>
        <v>0.837526205450734</v>
      </c>
      <c r="H52" s="19" t="n">
        <f aca="false">IFERROR(AVERAGEIFS(Bags!$AL$3:$AL$503,Bags!$Y$3:$Y$503,$A52,Bags!$AC$3:$AC$503,"Sold"),0)</f>
        <v>0</v>
      </c>
      <c r="I52" s="30" t="n">
        <f aca="false">IFERROR(AVERAGEIFS(Bags!$AM$3:$AM$503,Bags!$Y$3:$Y$503,$A52,Bags!$AC$3:$AC$503,"Sold"),0)</f>
        <v>-0.716076058772688</v>
      </c>
      <c r="J52" s="31" t="n">
        <f aca="false">SUMIFS(Bags!$X$3:$X$503,Bags!$Y$3:$Y$503,$A52,Bags!$AC$3:$AC$503,"&lt;&gt;Sold")</f>
        <v>45</v>
      </c>
    </row>
    <row r="53" customFormat="false" ht="15" hidden="false" customHeight="true" outlineLevel="0" collapsed="false">
      <c r="A53" s="4" t="s">
        <v>101</v>
      </c>
      <c r="B53" s="19" t="n">
        <f aca="false">COUNTIF(Bags!$Y$3:$Y$503,$A53)</f>
        <v>1</v>
      </c>
      <c r="C53" s="19" t="n">
        <f aca="false">COUNTIFS(Bags!$Y$3:$Y$503,$A53,Bags!$AC$3:$AC$503,"Sold")</f>
        <v>1</v>
      </c>
      <c r="D53" s="30" t="n">
        <f aca="false">IFERROR(C53/B53,0)</f>
        <v>1</v>
      </c>
      <c r="E53" s="31" t="n">
        <f aca="false">SUMIFS(Bags!$AE$3:$AE$503,Bags!$Y$3:$Y$503,$A53,Bags!$AC$3:$AC$503,"Sold")</f>
        <v>61</v>
      </c>
      <c r="F53" s="32" t="n">
        <f aca="false">SUMIFS(Bags!$AI$3:$AI$503,Bags!$Y$3:$Y$503,$A53)</f>
        <v>7</v>
      </c>
      <c r="G53" s="30" t="n">
        <f aca="false">IFERROR(F53/E53,0)</f>
        <v>0.114754098360656</v>
      </c>
      <c r="H53" s="19" t="n">
        <f aca="false">IFERROR(AVERAGEIFS(Bags!$AL$3:$AL$503,Bags!$Y$3:$Y$503,$A53,Bags!$AC$3:$AC$503,"Sold"),0)</f>
        <v>0</v>
      </c>
      <c r="I53" s="30" t="n">
        <f aca="false">IFERROR(AVERAGEIFS(Bags!$AM$3:$AM$503,Bags!$Y$3:$Y$503,$A53,Bags!$AC$3:$AC$503,"Sold"),0)</f>
        <v>0.298850574712644</v>
      </c>
      <c r="J53" s="31" t="n">
        <f aca="false">SUMIFS(Bags!$X$3:$X$503,Bags!$Y$3:$Y$503,$A53,Bags!$AC$3:$AC$503,"&lt;&gt;Sold")</f>
        <v>0</v>
      </c>
    </row>
    <row r="54" customFormat="false" ht="15" hidden="false" customHeight="true" outlineLevel="0" collapsed="false">
      <c r="A54" s="4" t="s">
        <v>306</v>
      </c>
      <c r="B54" s="19" t="n">
        <f aca="false">COUNTIF(Bags!$Y$3:$Y$503,$A54)</f>
        <v>0</v>
      </c>
      <c r="C54" s="19" t="n">
        <f aca="false">COUNTIFS(Bags!$Y$3:$Y$503,$A54,Bags!$AC$3:$AC$503,"Sold")</f>
        <v>0</v>
      </c>
      <c r="D54" s="30" t="n">
        <f aca="false">IFERROR(C54/B54,0)</f>
        <v>0</v>
      </c>
      <c r="E54" s="31" t="n">
        <f aca="false">SUMIFS(Bags!$AE$3:$AE$503,Bags!$Y$3:$Y$503,$A54,Bags!$AC$3:$AC$503,"Sold")</f>
        <v>0</v>
      </c>
      <c r="F54" s="32" t="n">
        <f aca="false">SUMIFS(Bags!$AI$3:$AI$503,Bags!$Y$3:$Y$503,$A54)</f>
        <v>0</v>
      </c>
      <c r="G54" s="30" t="n">
        <f aca="false">IFERROR(F54/E54,0)</f>
        <v>0</v>
      </c>
      <c r="H54" s="19" t="n">
        <f aca="false">IFERROR(AVERAGEIFS(Bags!$AL$3:$AL$503,Bags!$Y$3:$Y$503,$A54,Bags!$AC$3:$AC$503,"Sold"),0)</f>
        <v>0</v>
      </c>
      <c r="I54" s="30" t="n">
        <f aca="false">IFERROR(AVERAGEIFS(Bags!$AM$3:$AM$503,Bags!$Y$3:$Y$503,$A54,Bags!$AC$3:$AC$503,"Sold"),0)</f>
        <v>0</v>
      </c>
      <c r="J54" s="31" t="n">
        <f aca="false">SUMIFS(Bags!$X$3:$X$503,Bags!$Y$3:$Y$503,$A54,Bags!$AC$3:$AC$503,"&lt;&gt;Sold")</f>
        <v>0</v>
      </c>
    </row>
    <row r="55" customFormat="false" ht="15" hidden="false" customHeight="true" outlineLevel="0" collapsed="false">
      <c r="A55" s="4" t="s">
        <v>133</v>
      </c>
      <c r="B55" s="19" t="n">
        <f aca="false">COUNTIF(Bags!$Y$3:$Y$503,$A55)</f>
        <v>1</v>
      </c>
      <c r="C55" s="19" t="n">
        <f aca="false">COUNTIFS(Bags!$Y$3:$Y$503,$A55,Bags!$AC$3:$AC$503,"Sold")</f>
        <v>1</v>
      </c>
      <c r="D55" s="30" t="n">
        <f aca="false">IFERROR(C55/B55,0)</f>
        <v>1</v>
      </c>
      <c r="E55" s="31" t="n">
        <f aca="false">SUMIFS(Bags!$AE$3:$AE$503,Bags!$Y$3:$Y$503,$A55,Bags!$AC$3:$AC$503,"Sold")</f>
        <v>336</v>
      </c>
      <c r="F55" s="32" t="n">
        <f aca="false">SUMIFS(Bags!$AI$3:$AI$503,Bags!$Y$3:$Y$503,$A55)</f>
        <v>317</v>
      </c>
      <c r="G55" s="30" t="n">
        <f aca="false">IFERROR(F55/E55,0)</f>
        <v>0.943452380952381</v>
      </c>
      <c r="H55" s="19" t="n">
        <f aca="false">IFERROR(AVERAGEIFS(Bags!$AL$3:$AL$503,Bags!$Y$3:$Y$503,$A55,Bags!$AC$3:$AC$503,"Sold"),0)</f>
        <v>0</v>
      </c>
      <c r="I55" s="30" t="n">
        <f aca="false">IFERROR(AVERAGEIFS(Bags!$AM$3:$AM$503,Bags!$Y$3:$Y$503,$A55,Bags!$AC$3:$AC$503,"Sold"),0)</f>
        <v>0.629955947136564</v>
      </c>
      <c r="J55" s="31" t="n">
        <f aca="false">SUMIFS(Bags!$X$3:$X$503,Bags!$Y$3:$Y$503,$A55,Bags!$AC$3:$AC$503,"&lt;&gt;Sold")</f>
        <v>0</v>
      </c>
    </row>
    <row r="56" customFormat="false" ht="15" hidden="false" customHeight="true" outlineLevel="0" collapsed="false">
      <c r="A56" s="4" t="s">
        <v>178</v>
      </c>
      <c r="B56" s="19" t="n">
        <f aca="false">COUNTIF(Bags!$Y$3:$Y$503,$A56)</f>
        <v>25</v>
      </c>
      <c r="C56" s="19" t="n">
        <f aca="false">COUNTIFS(Bags!$Y$3:$Y$503,$A56,Bags!$AC$3:$AC$503,"Sold")</f>
        <v>22</v>
      </c>
      <c r="D56" s="30" t="n">
        <f aca="false">IFERROR(C56/B56,0)</f>
        <v>0.88</v>
      </c>
      <c r="E56" s="31" t="n">
        <f aca="false">SUMIFS(Bags!$AE$3:$AE$503,Bags!$Y$3:$Y$503,$A56,Bags!$AC$3:$AC$503,"Sold")</f>
        <v>4015</v>
      </c>
      <c r="F56" s="32" t="n">
        <f aca="false">SUMIFS(Bags!$AI$3:$AI$503,Bags!$Y$3:$Y$503,$A56)</f>
        <v>1368</v>
      </c>
      <c r="G56" s="30" t="n">
        <f aca="false">IFERROR(F56/E56,0)</f>
        <v>0.340722291407223</v>
      </c>
      <c r="H56" s="19" t="n">
        <f aca="false">IFERROR(AVERAGEIFS(Bags!$AL$3:$AL$503,Bags!$Y$3:$Y$503,$A56,Bags!$AC$3:$AC$503,"Sold"),0)</f>
        <v>0</v>
      </c>
      <c r="I56" s="30" t="n">
        <f aca="false">IFERROR(AVERAGEIFS(Bags!$AM$3:$AM$503,Bags!$Y$3:$Y$503,$A56,Bags!$AC$3:$AC$503,"Sold"),0)</f>
        <v>0.270314406059997</v>
      </c>
      <c r="J56" s="31" t="n">
        <f aca="false">SUMIFS(Bags!$X$3:$X$503,Bags!$Y$3:$Y$503,$A56,Bags!$AC$3:$AC$503,"&lt;&gt;Sold")</f>
        <v>210</v>
      </c>
    </row>
    <row r="57" customFormat="false" ht="15" hidden="false" customHeight="true" outlineLevel="0" collapsed="false">
      <c r="A57" s="4" t="s">
        <v>281</v>
      </c>
      <c r="B57" s="19" t="n">
        <f aca="false">COUNTIF(Bags!$Y$3:$Y$503,$A57)</f>
        <v>0</v>
      </c>
      <c r="C57" s="19" t="n">
        <f aca="false">COUNTIFS(Bags!$Y$3:$Y$503,$A57,Bags!$AC$3:$AC$503,"Sold")</f>
        <v>0</v>
      </c>
      <c r="D57" s="30" t="n">
        <f aca="false">IFERROR(C57/B57,0)</f>
        <v>0</v>
      </c>
      <c r="E57" s="31" t="n">
        <f aca="false">SUMIFS(Bags!$AE$3:$AE$503,Bags!$Y$3:$Y$503,$A57,Bags!$AC$3:$AC$503,"Sold")</f>
        <v>0</v>
      </c>
      <c r="F57" s="32" t="n">
        <f aca="false">SUMIFS(Bags!$AI$3:$AI$503,Bags!$Y$3:$Y$503,$A57)</f>
        <v>0</v>
      </c>
      <c r="G57" s="30" t="n">
        <f aca="false">IFERROR(F57/E57,0)</f>
        <v>0</v>
      </c>
      <c r="H57" s="19" t="n">
        <f aca="false">IFERROR(AVERAGEIFS(Bags!$AL$3:$AL$503,Bags!$Y$3:$Y$503,$A57,Bags!$AC$3:$AC$503,"Sold"),0)</f>
        <v>0</v>
      </c>
      <c r="I57" s="30" t="n">
        <f aca="false">IFERROR(AVERAGEIFS(Bags!$AM$3:$AM$503,Bags!$Y$3:$Y$503,$A57,Bags!$AC$3:$AC$503,"Sold"),0)</f>
        <v>0</v>
      </c>
      <c r="J57" s="31" t="n">
        <f aca="false">SUMIFS(Bags!$X$3:$X$503,Bags!$Y$3:$Y$503,$A57,Bags!$AC$3:$AC$503,"&lt;&gt;Sold")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24"/>
  </cols>
  <sheetData>
    <row r="1" customFormat="false" ht="15" hidden="false" customHeight="true" outlineLevel="0" collapsed="false">
      <c r="A1" s="5" t="s">
        <v>27</v>
      </c>
      <c r="B1" s="5" t="s">
        <v>33</v>
      </c>
      <c r="C1" s="5" t="s">
        <v>35</v>
      </c>
      <c r="D1" s="5" t="s">
        <v>307</v>
      </c>
      <c r="E1" s="5" t="s">
        <v>50</v>
      </c>
      <c r="F1" s="5" t="s">
        <v>54</v>
      </c>
      <c r="G1" s="5" t="s">
        <v>308</v>
      </c>
      <c r="H1" s="5" t="s">
        <v>37</v>
      </c>
    </row>
    <row r="2" customFormat="false" ht="15" hidden="false" customHeight="true" outlineLevel="0" collapsed="false">
      <c r="A2" s="4" t="s">
        <v>132</v>
      </c>
      <c r="B2" s="4" t="s">
        <v>309</v>
      </c>
      <c r="C2" s="4" t="s">
        <v>121</v>
      </c>
      <c r="D2" s="4" t="s">
        <v>77</v>
      </c>
      <c r="E2" s="4" t="s">
        <v>78</v>
      </c>
      <c r="F2" s="4" t="s">
        <v>240</v>
      </c>
      <c r="G2" s="4" t="s">
        <v>80</v>
      </c>
      <c r="H2" s="4" t="s">
        <v>75</v>
      </c>
    </row>
    <row r="3" customFormat="false" ht="15" hidden="false" customHeight="true" outlineLevel="0" collapsed="false">
      <c r="A3" s="4" t="s">
        <v>83</v>
      </c>
      <c r="B3" s="4" t="s">
        <v>310</v>
      </c>
      <c r="C3" s="4" t="s">
        <v>311</v>
      </c>
      <c r="D3" s="4" t="s">
        <v>312</v>
      </c>
      <c r="E3" s="4" t="s">
        <v>125</v>
      </c>
      <c r="F3" s="4" t="s">
        <v>130</v>
      </c>
      <c r="G3" s="4" t="s">
        <v>86</v>
      </c>
      <c r="H3" s="4" t="s">
        <v>123</v>
      </c>
    </row>
    <row r="4" customFormat="false" ht="15" hidden="false" customHeight="true" outlineLevel="0" collapsed="false">
      <c r="A4" s="4" t="s">
        <v>301</v>
      </c>
      <c r="B4" s="4" t="s">
        <v>313</v>
      </c>
      <c r="C4" s="4" t="s">
        <v>314</v>
      </c>
      <c r="D4" s="4" t="s">
        <v>315</v>
      </c>
      <c r="E4" s="4" t="s">
        <v>104</v>
      </c>
      <c r="F4" s="4" t="s">
        <v>79</v>
      </c>
      <c r="G4" s="4" t="s">
        <v>316</v>
      </c>
      <c r="H4" s="4" t="s">
        <v>254</v>
      </c>
    </row>
    <row r="5" customFormat="false" ht="15" hidden="false" customHeight="true" outlineLevel="0" collapsed="false">
      <c r="A5" s="4" t="s">
        <v>89</v>
      </c>
      <c r="B5" s="4" t="s">
        <v>96</v>
      </c>
      <c r="C5" s="4" t="s">
        <v>317</v>
      </c>
      <c r="D5" s="4" t="s">
        <v>318</v>
      </c>
      <c r="E5" s="4" t="s">
        <v>101</v>
      </c>
      <c r="F5" s="4" t="s">
        <v>319</v>
      </c>
    </row>
    <row r="6" customFormat="false" ht="15" hidden="false" customHeight="true" outlineLevel="0" collapsed="false">
      <c r="A6" s="4" t="s">
        <v>94</v>
      </c>
      <c r="B6" s="4" t="s">
        <v>73</v>
      </c>
      <c r="D6" s="4" t="s">
        <v>320</v>
      </c>
      <c r="E6" s="4" t="s">
        <v>306</v>
      </c>
      <c r="F6" s="4" t="s">
        <v>321</v>
      </c>
    </row>
    <row r="7" customFormat="false" ht="15" hidden="false" customHeight="true" outlineLevel="0" collapsed="false">
      <c r="A7" s="4" t="s">
        <v>190</v>
      </c>
      <c r="B7" s="4" t="s">
        <v>85</v>
      </c>
      <c r="D7" s="4" t="s">
        <v>322</v>
      </c>
      <c r="E7" s="4" t="s">
        <v>133</v>
      </c>
    </row>
    <row r="8" customFormat="false" ht="15" hidden="false" customHeight="true" outlineLevel="0" collapsed="false">
      <c r="A8" s="4" t="s">
        <v>302</v>
      </c>
      <c r="D8" s="4" t="s">
        <v>281</v>
      </c>
      <c r="E8" s="4" t="s">
        <v>178</v>
      </c>
    </row>
    <row r="9" customFormat="false" ht="15" hidden="false" customHeight="true" outlineLevel="0" collapsed="false">
      <c r="A9" s="4" t="s">
        <v>69</v>
      </c>
      <c r="E9" s="4" t="s">
        <v>281</v>
      </c>
    </row>
    <row r="10" customFormat="false" ht="15" hidden="false" customHeight="true" outlineLevel="0" collapsed="false">
      <c r="A10" s="4" t="s">
        <v>99</v>
      </c>
    </row>
    <row r="11" customFormat="false" ht="15" hidden="false" customHeight="true" outlineLevel="0" collapsed="false">
      <c r="A11" s="4" t="s">
        <v>303</v>
      </c>
    </row>
    <row r="12" customFormat="false" ht="15" hidden="false" customHeight="true" outlineLevel="0" collapsed="false">
      <c r="A12" s="4" t="s">
        <v>194</v>
      </c>
    </row>
    <row r="13" customFormat="false" ht="15" hidden="false" customHeight="true" outlineLevel="0" collapsed="false">
      <c r="A13" s="4" t="s">
        <v>140</v>
      </c>
    </row>
    <row r="14" customFormat="false" ht="15" hidden="false" customHeight="true" outlineLevel="0" collapsed="false">
      <c r="A14" s="4" t="s">
        <v>172</v>
      </c>
    </row>
    <row r="15" customFormat="false" ht="15" hidden="false" customHeight="true" outlineLevel="0" collapsed="false">
      <c r="A15" s="4" t="s">
        <v>218</v>
      </c>
    </row>
    <row r="16" customFormat="false" ht="15" hidden="false" customHeight="true" outlineLevel="0" collapsed="false">
      <c r="A16" s="4" t="s">
        <v>230</v>
      </c>
    </row>
    <row r="17" customFormat="false" ht="15" hidden="false" customHeight="true" outlineLevel="0" collapsed="false">
      <c r="A17" s="4" t="s">
        <v>237</v>
      </c>
    </row>
    <row r="18" customFormat="false" ht="15" hidden="false" customHeight="true" outlineLevel="0" collapsed="false">
      <c r="A18" s="4" t="s">
        <v>206</v>
      </c>
    </row>
    <row r="19" customFormat="false" ht="15" hidden="false" customHeight="true" outlineLevel="0" collapsed="false">
      <c r="A19" s="4" t="s">
        <v>243</v>
      </c>
    </row>
    <row r="20" customFormat="false" ht="15" hidden="false" customHeight="true" outlineLevel="0" collapsed="false">
      <c r="A20" s="4" t="s">
        <v>234</v>
      </c>
    </row>
    <row r="21" customFormat="false" ht="15" hidden="false" customHeight="true" outlineLevel="0" collapsed="false">
      <c r="A21" s="4" t="s">
        <v>304</v>
      </c>
    </row>
    <row r="22" customFormat="false" ht="15" hidden="false" customHeight="true" outlineLevel="0" collapsed="false">
      <c r="A22" s="4" t="s">
        <v>247</v>
      </c>
    </row>
    <row r="23" customFormat="false" ht="15" hidden="false" customHeight="true" outlineLevel="0" collapsed="false">
      <c r="A23" s="4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2026-10-17T19:05:54Z</dcterms:created>
  <dc:creator>openpyxl</dc:creator>
  <dc:description/>
  <dc:language>en-US</dc:language>
  <cp:lastModifiedBy/>
  <dcterms:modified xsi:type="dcterms:W3CDTF">2026-10-17T19:07:47Z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